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336" yWindow="240" windowWidth="23256" windowHeight="13176" tabRatio="500"/>
  </bookViews>
  <sheets>
    <sheet name=" 4- Alternative to &quot;Solver&quot;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E5" i="1" l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4" i="1"/>
  <c r="R2" i="1"/>
  <c r="S2" i="1"/>
  <c r="K2" i="1"/>
  <c r="AD1" i="1"/>
</calcChain>
</file>

<file path=xl/sharedStrings.xml><?xml version="1.0" encoding="utf-8"?>
<sst xmlns="http://schemas.openxmlformats.org/spreadsheetml/2006/main" count="793" uniqueCount="367">
  <si>
    <t xml:space="preserve">key </t>
  </si>
  <si>
    <t>Inputs from Database</t>
  </si>
  <si>
    <t>Calculated Final Values</t>
  </si>
  <si>
    <t>Calculated Intermediate Values</t>
  </si>
  <si>
    <t>Range Given:</t>
  </si>
  <si>
    <t>Chart/Scatter Plot --- normalized values on x axis</t>
  </si>
  <si>
    <t>y axis values</t>
  </si>
  <si>
    <t xml:space="preserve">                       Normalized Data Best-fit Line Parameters:</t>
  </si>
  <si>
    <t xml:space="preserve">Slope Beta </t>
  </si>
  <si>
    <t>Y-Intercept Alpha</t>
  </si>
  <si>
    <t xml:space="preserve">                                                                                    Transaction Fees:</t>
  </si>
  <si>
    <t>Note: if "optimal rent" is less than this value, use this value</t>
  </si>
  <si>
    <t xml:space="preserve">Use MS "If" statement </t>
  </si>
  <si>
    <t xml:space="preserve">Long Term (LT) </t>
  </si>
  <si>
    <t>=(Monthly Rent*12)*(LT Occupancy Rate))</t>
  </si>
  <si>
    <t>Short Term (ST)</t>
  </si>
  <si>
    <t>[(Range*(Example Rent  $ minus $ 10th)) / ($ 90th minus $ 10th)] + .1</t>
  </si>
  <si>
    <t xml:space="preserve">Repeat earlier column for convenience </t>
  </si>
  <si>
    <t xml:space="preserve">=365*(variable cell dollars per night)*(Model forecast occupancy rate) </t>
  </si>
  <si>
    <t xml:space="preserve">= (Revenues Before Transaction fees)*(1 minus transaction  fees) </t>
  </si>
  <si>
    <t>Repeat for Convenience</t>
  </si>
  <si>
    <t>Interim Result 1</t>
  </si>
  <si>
    <t>Interim Result 2</t>
  </si>
  <si>
    <t>Interim Result 3</t>
  </si>
  <si>
    <t>=[(Beta*Interim result 2)/(Interim result 1)) - Alpha] * [Interim result 3]</t>
  </si>
  <si>
    <t xml:space="preserve">If(Optimal $ Rent &gt; 10th Percentile $ Rent, Optimal rent, else 10th percentile Rent) </t>
  </si>
  <si>
    <t xml:space="preserve">' ((Correct $ rent) minus (Interim Result 2)) /  (Interim Result 1) </t>
  </si>
  <si>
    <t xml:space="preserve">=((Beta)*(Rent Normalized to Percentile) + Alpha) </t>
  </si>
  <si>
    <t xml:space="preserve">=(correct $ Rent)*(Forecast Occupancy Rate) </t>
  </si>
  <si>
    <t xml:space="preserve">=(Forecast ST Revenues)*(1 minus transaction  fees) </t>
  </si>
  <si>
    <t xml:space="preserve">Watershed property ID </t>
  </si>
  <si>
    <t xml:space="preserve">location ID </t>
  </si>
  <si>
    <t xml:space="preserve">property type (Apartment or House) </t>
  </si>
  <si>
    <t xml:space="preserve">Number of Bedrooms (1 or 2) </t>
  </si>
  <si>
    <t>LT - Monthly Rent</t>
  </si>
  <si>
    <t>LT occupancy rate</t>
  </si>
  <si>
    <t>LT Annual Revenues</t>
  </si>
  <si>
    <t xml:space="preserve">ST Example $ Rent </t>
  </si>
  <si>
    <t>ST Example Occupancy Rate</t>
  </si>
  <si>
    <t>ST -  $ 10th percentile rent</t>
  </si>
  <si>
    <t>ST - $ 90th percentile rent</t>
  </si>
  <si>
    <t xml:space="preserve">$ 90th minus $ 10th </t>
  </si>
  <si>
    <t xml:space="preserve">Example $ Rent minus $ 10th </t>
  </si>
  <si>
    <t>ST Example Nightly Rent Normalized to Percentile</t>
  </si>
  <si>
    <t xml:space="preserve"> SOLVER  "Variable Cell" - Rent in Dollars per Night (ST) </t>
  </si>
  <si>
    <t xml:space="preserve">Dollars Normalized to Percentile </t>
  </si>
  <si>
    <t xml:space="preserve">Model forecast occupancy = (Beta*( Dollars Normalized to Percentile)) + Alpha </t>
  </si>
  <si>
    <t>SOLVER "Objective"-  Forecast ST Annual Revenues Before Transaction Fees</t>
  </si>
  <si>
    <t>Forecast ST Annual Revenues After Transaction Fees</t>
  </si>
  <si>
    <t xml:space="preserve">10th Percentile $ Rent </t>
  </si>
  <si>
    <t>1.25*($ 90th - $ 10th)</t>
  </si>
  <si>
    <t xml:space="preserve">$ 10th - (($ 90th - $ 10th)/8)) </t>
  </si>
  <si>
    <t>Optimal Rent</t>
  </si>
  <si>
    <t>Correct $ Rent, given constraint that rent must be &gt;= 10th percentile</t>
  </si>
  <si>
    <t>Correct Rent Normalized to Percentile</t>
  </si>
  <si>
    <t xml:space="preserve">Correct Forecast Occupancy Rate </t>
  </si>
  <si>
    <t>Forecast ST Revenues Before Transaction Fees</t>
  </si>
  <si>
    <t>Forecast ST Revenues After Transaction Fees</t>
  </si>
  <si>
    <t>1.25*($ 90th - $ 10th)/(2*beta)</t>
  </si>
  <si>
    <t>W1</t>
  </si>
  <si>
    <t>L9531</t>
  </si>
  <si>
    <t>apartment</t>
  </si>
  <si>
    <t>W10</t>
  </si>
  <si>
    <t>L9533</t>
  </si>
  <si>
    <t>W100</t>
  </si>
  <si>
    <t>L1944</t>
  </si>
  <si>
    <t>W101</t>
  </si>
  <si>
    <t>L15257</t>
  </si>
  <si>
    <t>W102</t>
  </si>
  <si>
    <t>W103</t>
  </si>
  <si>
    <t>house</t>
  </si>
  <si>
    <t>W104</t>
  </si>
  <si>
    <t>W105</t>
  </si>
  <si>
    <t>L15260</t>
  </si>
  <si>
    <t>W106</t>
  </si>
  <si>
    <t>W107</t>
  </si>
  <si>
    <t>W108</t>
  </si>
  <si>
    <t>W109</t>
  </si>
  <si>
    <t>L15264</t>
  </si>
  <si>
    <t>W11</t>
  </si>
  <si>
    <t>W110</t>
  </si>
  <si>
    <t>W111</t>
  </si>
  <si>
    <t>W112</t>
  </si>
  <si>
    <t>W113</t>
  </si>
  <si>
    <t>L15278</t>
  </si>
  <si>
    <t>W114</t>
  </si>
  <si>
    <t>W115</t>
  </si>
  <si>
    <t>W116</t>
  </si>
  <si>
    <t>W117</t>
  </si>
  <si>
    <t>L15280</t>
  </si>
  <si>
    <t>W118</t>
  </si>
  <si>
    <t>W119</t>
  </si>
  <si>
    <t>W12</t>
  </si>
  <si>
    <t>W120</t>
  </si>
  <si>
    <t>W121</t>
  </si>
  <si>
    <t>L463</t>
  </si>
  <si>
    <t>W122</t>
  </si>
  <si>
    <t>W123</t>
  </si>
  <si>
    <t>W124</t>
  </si>
  <si>
    <t>W125</t>
  </si>
  <si>
    <t>L464</t>
  </si>
  <si>
    <t>W126</t>
  </si>
  <si>
    <t>W127</t>
  </si>
  <si>
    <t>W128</t>
  </si>
  <si>
    <t>W129</t>
  </si>
  <si>
    <t>L2314</t>
  </si>
  <si>
    <t>W13</t>
  </si>
  <si>
    <t>L9534</t>
  </si>
  <si>
    <t>W130</t>
  </si>
  <si>
    <t>W131</t>
  </si>
  <si>
    <t>W132</t>
  </si>
  <si>
    <t>W133</t>
  </si>
  <si>
    <t>L2318</t>
  </si>
  <si>
    <t>W134</t>
  </si>
  <si>
    <t>W135</t>
  </si>
  <si>
    <t>W136</t>
  </si>
  <si>
    <t>W137</t>
  </si>
  <si>
    <t>L2323</t>
  </si>
  <si>
    <t>W138</t>
  </si>
  <si>
    <t>W139</t>
  </si>
  <si>
    <t>W14</t>
  </si>
  <si>
    <t>W140</t>
  </si>
  <si>
    <t>W141</t>
  </si>
  <si>
    <t>L2325</t>
  </si>
  <si>
    <t>W142</t>
  </si>
  <si>
    <t>W143</t>
  </si>
  <si>
    <t>W144</t>
  </si>
  <si>
    <t>W145</t>
  </si>
  <si>
    <t>L2338</t>
  </si>
  <si>
    <t>W146</t>
  </si>
  <si>
    <t>W147</t>
  </si>
  <si>
    <t>W148</t>
  </si>
  <si>
    <t>W149</t>
  </si>
  <si>
    <t>L3244</t>
  </si>
  <si>
    <t>W15</t>
  </si>
  <si>
    <t>W150</t>
  </si>
  <si>
    <t>W151</t>
  </si>
  <si>
    <t>W152</t>
  </si>
  <si>
    <t>W153</t>
  </si>
  <si>
    <t>L3256</t>
  </si>
  <si>
    <t>W154</t>
  </si>
  <si>
    <t>W155</t>
  </si>
  <si>
    <t>W156</t>
  </si>
  <si>
    <t>W157</t>
  </si>
  <si>
    <t>L3261</t>
  </si>
  <si>
    <t>W158</t>
  </si>
  <si>
    <t>W159</t>
  </si>
  <si>
    <t>W16</t>
  </si>
  <si>
    <t>W160</t>
  </si>
  <si>
    <t>W161</t>
  </si>
  <si>
    <t>L3262</t>
  </si>
  <si>
    <t>W162</t>
  </si>
  <si>
    <t>W163</t>
  </si>
  <si>
    <t>W164</t>
  </si>
  <si>
    <t>W165</t>
  </si>
  <si>
    <t>L3264</t>
  </si>
  <si>
    <t>W166</t>
  </si>
  <si>
    <t>W167</t>
  </si>
  <si>
    <t>W168</t>
  </si>
  <si>
    <t>W169</t>
  </si>
  <si>
    <t>L10126</t>
  </si>
  <si>
    <t>W17</t>
  </si>
  <si>
    <t>L4761</t>
  </si>
  <si>
    <t>W170</t>
  </si>
  <si>
    <t>W171</t>
  </si>
  <si>
    <t>W172</t>
  </si>
  <si>
    <t>W173</t>
  </si>
  <si>
    <t>L10130</t>
  </si>
  <si>
    <t>W174</t>
  </si>
  <si>
    <t>W175</t>
  </si>
  <si>
    <t>W176</t>
  </si>
  <si>
    <t>W177</t>
  </si>
  <si>
    <t>L10133</t>
  </si>
  <si>
    <t>W178</t>
  </si>
  <si>
    <t>W179</t>
  </si>
  <si>
    <t>W18</t>
  </si>
  <si>
    <t>W180</t>
  </si>
  <si>
    <t>W181</t>
  </si>
  <si>
    <t>L10136</t>
  </si>
  <si>
    <t>W182</t>
  </si>
  <si>
    <t>W183</t>
  </si>
  <si>
    <t>W184</t>
  </si>
  <si>
    <t>W185</t>
  </si>
  <si>
    <t>L1882</t>
  </si>
  <si>
    <t>W186</t>
  </si>
  <si>
    <t>W187</t>
  </si>
  <si>
    <t>W188</t>
  </si>
  <si>
    <t>W189</t>
  </si>
  <si>
    <t>L1883</t>
  </si>
  <si>
    <t>W19</t>
  </si>
  <si>
    <t>W190</t>
  </si>
  <si>
    <t>W191</t>
  </si>
  <si>
    <t>W192</t>
  </si>
  <si>
    <t>W193</t>
  </si>
  <si>
    <t>L1887</t>
  </si>
  <si>
    <t>W194</t>
  </si>
  <si>
    <t>W195</t>
  </si>
  <si>
    <t>W196</t>
  </si>
  <si>
    <t>W197</t>
  </si>
  <si>
    <t>L1902</t>
  </si>
  <si>
    <t>W198</t>
  </si>
  <si>
    <t>W199</t>
  </si>
  <si>
    <t>W2</t>
  </si>
  <si>
    <t>W20</t>
  </si>
  <si>
    <t>W200</t>
  </si>
  <si>
    <t>W201</t>
  </si>
  <si>
    <t>L1916</t>
  </si>
  <si>
    <t>W202</t>
  </si>
  <si>
    <t>W203</t>
  </si>
  <si>
    <t>W204</t>
  </si>
  <si>
    <t>W205</t>
  </si>
  <si>
    <t>L12252</t>
  </si>
  <si>
    <t>W206</t>
  </si>
  <si>
    <t>W207</t>
  </si>
  <si>
    <t>W208</t>
  </si>
  <si>
    <t>W209</t>
  </si>
  <si>
    <t>L12260</t>
  </si>
  <si>
    <t>W21</t>
  </si>
  <si>
    <t>L4765</t>
  </si>
  <si>
    <t>W210</t>
  </si>
  <si>
    <t>W211</t>
  </si>
  <si>
    <t>W212</t>
  </si>
  <si>
    <t>W213</t>
  </si>
  <si>
    <t>L12264</t>
  </si>
  <si>
    <t>W214</t>
  </si>
  <si>
    <t>W215</t>
  </si>
  <si>
    <t>W216</t>
  </si>
  <si>
    <t>W217</t>
  </si>
  <si>
    <t>L16888</t>
  </si>
  <si>
    <t>W218</t>
  </si>
  <si>
    <t>W219</t>
  </si>
  <si>
    <t>W22</t>
  </si>
  <si>
    <t>W220</t>
  </si>
  <si>
    <t>W221</t>
  </si>
  <si>
    <t>L16887</t>
  </si>
  <si>
    <t>W222</t>
  </si>
  <si>
    <t>W223</t>
  </si>
  <si>
    <t>W224</t>
  </si>
  <si>
    <t>W225</t>
  </si>
  <si>
    <t>L16898</t>
  </si>
  <si>
    <t>W226</t>
  </si>
  <si>
    <t>W227</t>
  </si>
  <si>
    <t>W228</t>
  </si>
  <si>
    <t>W229</t>
  </si>
  <si>
    <t>L16890</t>
  </si>
  <si>
    <t>W23</t>
  </si>
  <si>
    <t>W230</t>
  </si>
  <si>
    <t>W231</t>
  </si>
  <si>
    <t>W232</t>
  </si>
  <si>
    <t>W233</t>
  </si>
  <si>
    <t>L14416</t>
  </si>
  <si>
    <t>W234</t>
  </si>
  <si>
    <t>W235</t>
  </si>
  <si>
    <t>W236</t>
  </si>
  <si>
    <t>W237</t>
  </si>
  <si>
    <t>L14418</t>
  </si>
  <si>
    <t>W238</t>
  </si>
  <si>
    <t>W239</t>
  </si>
  <si>
    <t>W24</t>
  </si>
  <si>
    <t>W240</t>
  </si>
  <si>
    <t>W241</t>
  </si>
  <si>
    <t>L14419</t>
  </si>
  <si>
    <t>W242</t>
  </si>
  <si>
    <t>W243</t>
  </si>
  <si>
    <t>W244</t>
  </si>
  <si>
    <t>W25</t>
  </si>
  <si>
    <t>L4770</t>
  </si>
  <si>
    <t>W26</t>
  </si>
  <si>
    <t>W27</t>
  </si>
  <si>
    <t>W28</t>
  </si>
  <si>
    <t>W29</t>
  </si>
  <si>
    <t>L4794</t>
  </si>
  <si>
    <t>W3</t>
  </si>
  <si>
    <t>W30</t>
  </si>
  <si>
    <t>W31</t>
  </si>
  <si>
    <t>W32</t>
  </si>
  <si>
    <t>W33</t>
  </si>
  <si>
    <t>L4804</t>
  </si>
  <si>
    <t>W34</t>
  </si>
  <si>
    <t>W35</t>
  </si>
  <si>
    <t>W36</t>
  </si>
  <si>
    <t>W37</t>
  </si>
  <si>
    <t>L11419</t>
  </si>
  <si>
    <t>W38</t>
  </si>
  <si>
    <t>W39</t>
  </si>
  <si>
    <t>L11421</t>
  </si>
  <si>
    <t>W4</t>
  </si>
  <si>
    <t>W40</t>
  </si>
  <si>
    <t>W41</t>
  </si>
  <si>
    <t>W42</t>
  </si>
  <si>
    <t>W43</t>
  </si>
  <si>
    <t>L11427</t>
  </si>
  <si>
    <t>W44</t>
  </si>
  <si>
    <t>W45</t>
  </si>
  <si>
    <t>L11431</t>
  </si>
  <si>
    <t>W46</t>
  </si>
  <si>
    <t>W47</t>
  </si>
  <si>
    <t>W48</t>
  </si>
  <si>
    <t>W49</t>
  </si>
  <si>
    <t>L11434</t>
  </si>
  <si>
    <t>W5</t>
  </si>
  <si>
    <t>L9532</t>
  </si>
  <si>
    <t>W50</t>
  </si>
  <si>
    <t>W51</t>
  </si>
  <si>
    <t>W52</t>
  </si>
  <si>
    <t>W53</t>
  </si>
  <si>
    <t>L11480</t>
  </si>
  <si>
    <t>W54</t>
  </si>
  <si>
    <t>W55</t>
  </si>
  <si>
    <t>W56</t>
  </si>
  <si>
    <t>W57</t>
  </si>
  <si>
    <t>L11495</t>
  </si>
  <si>
    <t>W58</t>
  </si>
  <si>
    <t>W59</t>
  </si>
  <si>
    <t>W6</t>
  </si>
  <si>
    <t>W60</t>
  </si>
  <si>
    <t>W61</t>
  </si>
  <si>
    <t>L1734</t>
  </si>
  <si>
    <t>W62</t>
  </si>
  <si>
    <t>W63</t>
  </si>
  <si>
    <t>W64</t>
  </si>
  <si>
    <t>W65</t>
  </si>
  <si>
    <t>L1735</t>
  </si>
  <si>
    <t>W66</t>
  </si>
  <si>
    <t>W67</t>
  </si>
  <si>
    <t>W68</t>
  </si>
  <si>
    <t>W69</t>
  </si>
  <si>
    <t>L1736</t>
  </si>
  <si>
    <t>W7</t>
  </si>
  <si>
    <t>W70</t>
  </si>
  <si>
    <t>W71</t>
  </si>
  <si>
    <t>W72</t>
  </si>
  <si>
    <t>W73</t>
  </si>
  <si>
    <t>L1737</t>
  </si>
  <si>
    <t>W74</t>
  </si>
  <si>
    <t>W75</t>
  </si>
  <si>
    <t>W76</t>
  </si>
  <si>
    <t>W77</t>
  </si>
  <si>
    <t>L1738</t>
  </si>
  <si>
    <t>W78</t>
  </si>
  <si>
    <t>W79</t>
  </si>
  <si>
    <t>W8</t>
  </si>
  <si>
    <t>W80</t>
  </si>
  <si>
    <t>W81</t>
  </si>
  <si>
    <t>L1940</t>
  </si>
  <si>
    <t>W82</t>
  </si>
  <si>
    <t>W83</t>
  </si>
  <si>
    <t>W84</t>
  </si>
  <si>
    <t>W85</t>
  </si>
  <si>
    <t>L1941</t>
  </si>
  <si>
    <t>W86</t>
  </si>
  <si>
    <t>W87</t>
  </si>
  <si>
    <t>W88</t>
  </si>
  <si>
    <t>W89</t>
  </si>
  <si>
    <t>L1942</t>
  </si>
  <si>
    <t>W9</t>
  </si>
  <si>
    <t>W90</t>
  </si>
  <si>
    <t>W91</t>
  </si>
  <si>
    <t>W92</t>
  </si>
  <si>
    <t>W93</t>
  </si>
  <si>
    <t>L1943</t>
  </si>
  <si>
    <t>W94</t>
  </si>
  <si>
    <t>W95</t>
  </si>
  <si>
    <t>W96</t>
  </si>
  <si>
    <t>W97</t>
  </si>
  <si>
    <t>W98</t>
  </si>
  <si>
    <t>W99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</si>
</sst>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9C65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5" fillId="0" borderId="2" xfId="0" applyFont="1" applyBorder="1"/>
    <xf numFmtId="0" fontId="1" fillId="2" borderId="2" xfId="1" applyBorder="1"/>
    <xf numFmtId="0" fontId="2" fillId="3" borderId="2" xfId="2" applyBorder="1"/>
    <xf numFmtId="0" fontId="0" fillId="0" borderId="3" xfId="0" applyBorder="1"/>
    <xf numFmtId="0" fontId="4" fillId="0" borderId="4" xfId="0" applyFont="1" applyBorder="1"/>
    <xf numFmtId="0" fontId="1" fillId="2" borderId="5" xfId="1" applyBorder="1"/>
    <xf numFmtId="0" fontId="5" fillId="0" borderId="6" xfId="0" applyFont="1" applyBorder="1"/>
    <xf numFmtId="0" fontId="4" fillId="0" borderId="0" xfId="0" quotePrefix="1" applyFont="1" applyFill="1" applyBorder="1"/>
    <xf numFmtId="0" fontId="3" fillId="4" borderId="1" xfId="3"/>
    <xf numFmtId="0" fontId="4" fillId="0" borderId="0" xfId="0" applyFont="1" applyBorder="1"/>
    <xf numFmtId="0" fontId="4" fillId="0" borderId="0" xfId="0" quotePrefix="1" applyFont="1" applyBorder="1"/>
    <xf numFmtId="0" fontId="4" fillId="0" borderId="5" xfId="0" applyFont="1" applyBorder="1"/>
    <xf numFmtId="0" fontId="0" fillId="0" borderId="4" xfId="0" applyBorder="1"/>
    <xf numFmtId="0" fontId="0" fillId="0" borderId="3" xfId="0" quotePrefix="1" applyBorder="1"/>
    <xf numFmtId="0" fontId="1" fillId="2" borderId="3" xfId="1" applyBorder="1"/>
    <xf numFmtId="0" fontId="5" fillId="0" borderId="4" xfId="0" applyFont="1" applyBorder="1"/>
    <xf numFmtId="0" fontId="2" fillId="3" borderId="5" xfId="2" quotePrefix="1" applyBorder="1"/>
    <xf numFmtId="0" fontId="1" fillId="2" borderId="8" xfId="1" quotePrefix="1" applyBorder="1"/>
    <xf numFmtId="0" fontId="0" fillId="0" borderId="5" xfId="0" applyBorder="1"/>
    <xf numFmtId="0" fontId="2" fillId="3" borderId="6" xfId="2" applyBorder="1"/>
    <xf numFmtId="0" fontId="2" fillId="3" borderId="5" xfId="2" applyBorder="1"/>
    <xf numFmtId="0" fontId="2" fillId="3" borderId="8" xfId="2" quotePrefix="1" applyBorder="1"/>
    <xf numFmtId="0" fontId="2" fillId="3" borderId="9" xfId="2" quotePrefix="1" applyBorder="1"/>
    <xf numFmtId="0" fontId="1" fillId="2" borderId="5" xfId="1" quotePrefix="1" applyBorder="1"/>
    <xf numFmtId="0" fontId="0" fillId="0" borderId="0" xfId="0" applyBorder="1"/>
    <xf numFmtId="0" fontId="5" fillId="0" borderId="7" xfId="0" applyFont="1" applyBorder="1"/>
    <xf numFmtId="0" fontId="1" fillId="2" borderId="2" xfId="1" applyFont="1" applyBorder="1"/>
    <xf numFmtId="0" fontId="5" fillId="0" borderId="10" xfId="0" applyFont="1" applyBorder="1"/>
    <xf numFmtId="0" fontId="2" fillId="3" borderId="11" xfId="2" applyBorder="1"/>
    <xf numFmtId="0" fontId="1" fillId="2" borderId="12" xfId="1" applyBorder="1"/>
    <xf numFmtId="0" fontId="5" fillId="0" borderId="13" xfId="0" applyFont="1" applyBorder="1"/>
    <xf numFmtId="0" fontId="2" fillId="3" borderId="7" xfId="2" applyBorder="1"/>
    <xf numFmtId="0" fontId="2" fillId="3" borderId="12" xfId="2" applyBorder="1"/>
    <xf numFmtId="0" fontId="1" fillId="2" borderId="14" xfId="1" applyBorder="1"/>
    <xf numFmtId="0" fontId="0" fillId="0" borderId="12" xfId="0" applyBorder="1"/>
    <xf numFmtId="0" fontId="2" fillId="3" borderId="13" xfId="2" applyBorder="1"/>
    <xf numFmtId="2" fontId="2" fillId="3" borderId="12" xfId="2" applyNumberFormat="1" applyBorder="1"/>
    <xf numFmtId="0" fontId="6" fillId="3" borderId="14" xfId="2" applyFont="1" applyBorder="1"/>
    <xf numFmtId="0" fontId="6" fillId="3" borderId="12" xfId="2" quotePrefix="1" applyFont="1" applyBorder="1"/>
    <xf numFmtId="0" fontId="6" fillId="3" borderId="15" xfId="2" applyFont="1" applyBorder="1"/>
    <xf numFmtId="0" fontId="7" fillId="2" borderId="12" xfId="1" applyFont="1" applyBorder="1"/>
    <xf numFmtId="0" fontId="0" fillId="0" borderId="7" xfId="0" applyBorder="1"/>
    <xf numFmtId="0" fontId="2" fillId="3" borderId="2" xfId="2" applyFont="1" applyBorder="1"/>
    <xf numFmtId="0" fontId="2" fillId="3" borderId="14" xfId="2" applyBorder="1"/>
    <xf numFmtId="0" fontId="4" fillId="0" borderId="5" xfId="0" applyFont="1" applyFill="1" applyBorder="1"/>
    <xf numFmtId="0" fontId="4" fillId="0" borderId="12" xfId="0" applyFont="1" applyBorder="1"/>
    <xf numFmtId="0" fontId="4" fillId="0" borderId="9" xfId="0" applyFont="1" applyFill="1" applyBorder="1"/>
    <xf numFmtId="0" fontId="4" fillId="0" borderId="15" xfId="0" applyFont="1" applyBorder="1"/>
    <xf numFmtId="0" fontId="2" fillId="3" borderId="6" xfId="2" quotePrefix="1" applyBorder="1"/>
    <xf numFmtId="0" fontId="4" fillId="0" borderId="11" xfId="0" quotePrefix="1" applyFont="1" applyFill="1" applyBorder="1"/>
    <xf numFmtId="9" fontId="4" fillId="0" borderId="10" xfId="0" applyNumberFormat="1" applyFont="1" applyBorder="1"/>
    <xf numFmtId="164" fontId="0" fillId="0" borderId="0" xfId="0" applyNumberFormat="1"/>
    <xf numFmtId="10" fontId="0" fillId="0" borderId="0" xfId="0" applyNumberFormat="1"/>
    <xf numFmtId="164" fontId="0" fillId="0" borderId="3" xfId="0" applyNumberFormat="1" applyBorder="1"/>
    <xf numFmtId="2" fontId="0" fillId="0" borderId="0" xfId="0" applyNumberFormat="1"/>
    <xf numFmtId="10" fontId="0" fillId="0" borderId="4" xfId="0" applyNumberFormat="1" applyBorder="1"/>
    <xf numFmtId="2" fontId="4" fillId="0" borderId="0" xfId="0" applyNumberFormat="1" applyFont="1" applyBorder="1"/>
    <xf numFmtId="2" fontId="2" fillId="3" borderId="5" xfId="2" applyNumberFormat="1" applyBorder="1"/>
    <xf numFmtId="2" fontId="4" fillId="0" borderId="0" xfId="0" quotePrefix="1" applyNumberFormat="1" applyFont="1" applyBorder="1"/>
    <xf numFmtId="2" fontId="2" fillId="3" borderId="5" xfId="2" quotePrefix="1" applyNumberFormat="1" applyBorder="1"/>
    <xf numFmtId="2" fontId="6" fillId="3" borderId="12" xfId="2" applyNumberFormat="1" applyFont="1" applyBorder="1"/>
    <xf numFmtId="164" fontId="0" fillId="0" borderId="4" xfId="0" applyNumberFormat="1" applyBorder="1"/>
  </cellXfs>
  <cellStyles count="10">
    <cellStyle name="Followed Hyperlink" xfId="5" builtinId="9" hidden="1"/>
    <cellStyle name="Followed Hyperlink" xfId="7" builtinId="9" hidden="1"/>
    <cellStyle name="Followed Hyperlink" xfId="9" builtinId="9" hidden="1"/>
    <cellStyle name="Good" xfId="1" builtinId="26"/>
    <cellStyle name="Hyperlink" xfId="4" builtinId="8" hidden="1"/>
    <cellStyle name="Hyperlink" xfId="6" builtinId="8" hidden="1"/>
    <cellStyle name="Hyperlink" xfId="8" builtinId="8" hidden="1"/>
    <cellStyle name="Input" xfId="3" builtinId="20"/>
    <cellStyle name="Neutral" xfId="2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47"/>
  <sheetViews>
    <sheetView tabSelected="1" topLeftCell="AD1" workbookViewId="0">
      <selection activeCell="AG7" sqref="AG7"/>
    </sheetView>
  </sheetViews>
  <sheetFormatPr defaultColWidth="11.19921875" defaultRowHeight="15.6" x14ac:dyDescent="0.3"/>
  <cols>
    <col min="1" max="1" width="22.19921875" customWidth="1"/>
    <col min="3" max="3" width="38.5" customWidth="1"/>
    <col min="4" max="4" width="26.19921875" customWidth="1"/>
    <col min="5" max="5" width="33.796875" customWidth="1"/>
    <col min="6" max="6" width="18.19921875" customWidth="1"/>
    <col min="7" max="7" width="39.19921875" style="4" customWidth="1"/>
    <col min="8" max="8" width="21.5" customWidth="1"/>
    <col min="9" max="9" width="25.69921875" customWidth="1"/>
    <col min="10" max="10" width="28" customWidth="1"/>
    <col min="11" max="11" width="27.796875" style="13" customWidth="1"/>
    <col min="12" max="12" width="18.5" customWidth="1"/>
    <col min="13" max="13" width="27.69921875" customWidth="1"/>
    <col min="14" max="14" width="62.296875" customWidth="1"/>
    <col min="15" max="15" width="35.296875" style="13" customWidth="1"/>
    <col min="16" max="16" width="49.19921875" customWidth="1"/>
    <col min="17" max="17" width="62" customWidth="1"/>
    <col min="18" max="18" width="35" customWidth="1"/>
    <col min="19" max="19" width="77.296875" customWidth="1"/>
    <col min="20" max="20" width="68.796875" customWidth="1"/>
    <col min="21" max="21" width="45.296875" style="13" customWidth="1"/>
    <col min="22" max="22" width="55" style="4" customWidth="1"/>
    <col min="23" max="23" width="28.796875" customWidth="1"/>
    <col min="24" max="24" width="31.296875" customWidth="1"/>
    <col min="25" max="25" width="28.69921875" style="55" customWidth="1"/>
    <col min="26" max="26" width="61.5" style="55" customWidth="1"/>
    <col min="27" max="27" width="69.296875" style="55" customWidth="1"/>
    <col min="28" max="29" width="76" customWidth="1"/>
    <col min="30" max="30" width="68.796875" customWidth="1"/>
    <col min="31" max="31" width="54.19921875" style="13" customWidth="1"/>
  </cols>
  <sheetData>
    <row r="1" spans="1:66" x14ac:dyDescent="0.3">
      <c r="B1" t="s">
        <v>0</v>
      </c>
      <c r="C1" s="1" t="s">
        <v>1</v>
      </c>
      <c r="D1" s="2" t="s">
        <v>2</v>
      </c>
      <c r="E1" s="3" t="s">
        <v>3</v>
      </c>
      <c r="K1" s="5" t="s">
        <v>4</v>
      </c>
      <c r="N1" s="6" t="s">
        <v>5</v>
      </c>
      <c r="O1" s="7" t="s">
        <v>6</v>
      </c>
      <c r="Q1" s="8" t="s">
        <v>7</v>
      </c>
      <c r="R1" s="47" t="s">
        <v>8</v>
      </c>
      <c r="S1" s="45" t="s">
        <v>9</v>
      </c>
      <c r="T1" s="50" t="s">
        <v>10</v>
      </c>
      <c r="U1" s="51">
        <v>0.3</v>
      </c>
      <c r="V1" s="9" t="s">
        <v>11</v>
      </c>
      <c r="X1" s="10"/>
      <c r="Y1" s="57"/>
      <c r="Z1" s="59"/>
      <c r="AA1" s="59" t="s">
        <v>12</v>
      </c>
      <c r="AB1" s="11"/>
      <c r="AC1" s="11"/>
      <c r="AD1" s="12">
        <f>(0.1*R2) +S2</f>
        <v>0.77146000000000003</v>
      </c>
    </row>
    <row r="2" spans="1:66" x14ac:dyDescent="0.3">
      <c r="E2" t="s">
        <v>13</v>
      </c>
      <c r="F2">
        <v>0.97299999999999998</v>
      </c>
      <c r="G2" s="14" t="s">
        <v>14</v>
      </c>
      <c r="H2" t="s">
        <v>15</v>
      </c>
      <c r="K2" s="5">
        <f>0.9-0.1</f>
        <v>0.8</v>
      </c>
      <c r="N2" s="15" t="s">
        <v>16</v>
      </c>
      <c r="O2" s="16" t="s">
        <v>17</v>
      </c>
      <c r="R2" s="48">
        <f>-0.7914</f>
        <v>-0.79139999999999999</v>
      </c>
      <c r="S2" s="46">
        <f>0.8506</f>
        <v>0.85060000000000002</v>
      </c>
      <c r="T2" s="49" t="s">
        <v>18</v>
      </c>
      <c r="U2" s="18" t="s">
        <v>19</v>
      </c>
      <c r="V2" s="19" t="s">
        <v>20</v>
      </c>
      <c r="W2" s="20" t="s">
        <v>21</v>
      </c>
      <c r="X2" s="21" t="s">
        <v>22</v>
      </c>
      <c r="Y2" s="58" t="s">
        <v>23</v>
      </c>
      <c r="Z2" s="60" t="s">
        <v>24</v>
      </c>
      <c r="AA2" s="60" t="s">
        <v>25</v>
      </c>
      <c r="AB2" s="22" t="s">
        <v>26</v>
      </c>
      <c r="AC2" s="17" t="s">
        <v>27</v>
      </c>
      <c r="AD2" s="23" t="s">
        <v>28</v>
      </c>
      <c r="AE2" s="24" t="s">
        <v>29</v>
      </c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</row>
    <row r="3" spans="1:66" s="42" customFormat="1" x14ac:dyDescent="0.3">
      <c r="A3" s="26" t="s">
        <v>30</v>
      </c>
      <c r="B3" s="26" t="s">
        <v>31</v>
      </c>
      <c r="C3" s="26" t="s">
        <v>32</v>
      </c>
      <c r="D3" s="26" t="s">
        <v>33</v>
      </c>
      <c r="E3" s="26" t="s">
        <v>34</v>
      </c>
      <c r="F3" s="26" t="s">
        <v>35</v>
      </c>
      <c r="G3" s="27" t="s">
        <v>36</v>
      </c>
      <c r="H3" s="26" t="s">
        <v>37</v>
      </c>
      <c r="I3" s="26" t="s">
        <v>38</v>
      </c>
      <c r="J3" s="26" t="s">
        <v>39</v>
      </c>
      <c r="K3" s="28" t="s">
        <v>40</v>
      </c>
      <c r="L3" s="3" t="s">
        <v>41</v>
      </c>
      <c r="M3" s="29" t="s">
        <v>42</v>
      </c>
      <c r="N3" s="30" t="s">
        <v>43</v>
      </c>
      <c r="O3" s="31" t="s">
        <v>38</v>
      </c>
      <c r="P3" s="32" t="s">
        <v>44</v>
      </c>
      <c r="Q3" s="43" t="s">
        <v>53</v>
      </c>
      <c r="R3" s="44" t="s">
        <v>45</v>
      </c>
      <c r="S3" s="44" t="s">
        <v>46</v>
      </c>
      <c r="T3" s="33" t="s">
        <v>47</v>
      </c>
      <c r="U3" s="34" t="s">
        <v>48</v>
      </c>
      <c r="V3" s="35" t="s">
        <v>49</v>
      </c>
      <c r="W3" s="36" t="s">
        <v>50</v>
      </c>
      <c r="X3" s="33" t="s">
        <v>51</v>
      </c>
      <c r="Y3" s="37" t="s">
        <v>58</v>
      </c>
      <c r="Z3" s="61" t="s">
        <v>52</v>
      </c>
      <c r="AA3" s="61" t="s">
        <v>53</v>
      </c>
      <c r="AB3" s="38" t="s">
        <v>54</v>
      </c>
      <c r="AC3" s="39" t="s">
        <v>55</v>
      </c>
      <c r="AD3" s="40" t="s">
        <v>56</v>
      </c>
      <c r="AE3" s="41" t="s">
        <v>57</v>
      </c>
      <c r="AF3"/>
      <c r="AG3"/>
      <c r="AH3"/>
      <c r="AI3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</row>
    <row r="4" spans="1:66" x14ac:dyDescent="0.3">
      <c r="A4" t="s">
        <v>59</v>
      </c>
      <c r="B4" t="s">
        <v>60</v>
      </c>
      <c r="C4" t="s">
        <v>61</v>
      </c>
      <c r="D4">
        <v>2</v>
      </c>
      <c r="E4" s="52">
        <v>1060</v>
      </c>
      <c r="F4" s="53">
        <v>0.16164400000000001</v>
      </c>
      <c r="G4" s="54">
        <v>2056.11168</v>
      </c>
      <c r="H4" s="52">
        <v>148</v>
      </c>
      <c r="I4" s="53">
        <v>0.16164400000000001</v>
      </c>
      <c r="J4" s="52">
        <v>114</v>
      </c>
      <c r="K4" s="52">
        <v>153</v>
      </c>
      <c r="L4" s="52">
        <f>K4-J4</f>
        <v>39</v>
      </c>
      <c r="M4" s="52">
        <f>H4-J4</f>
        <v>34</v>
      </c>
      <c r="N4" s="55">
        <f>($K$2*(M4))/L4+0.1</f>
        <v>0.79743589743589749</v>
      </c>
      <c r="O4" s="56">
        <f>I4</f>
        <v>0.16164400000000001</v>
      </c>
      <c r="V4" s="54">
        <f>J4</f>
        <v>114</v>
      </c>
      <c r="W4" s="52">
        <f>1.25*L4</f>
        <v>48.75</v>
      </c>
      <c r="X4" s="52">
        <f>V4-(L4)/8</f>
        <v>109.125</v>
      </c>
      <c r="Y4" s="55">
        <f>1.25*L4/(2*$R$2)</f>
        <v>-30.799848369977255</v>
      </c>
      <c r="Z4" s="55">
        <f>(($R$2*X4)/W4-$S$2)*Y4</f>
        <v>80.760851023502653</v>
      </c>
      <c r="AA4" s="55">
        <f>IF(Z4&gt;V4,Z4,V4)</f>
        <v>114</v>
      </c>
      <c r="AB4" s="52">
        <f>(AA4-X4)/W4</f>
        <v>0.1</v>
      </c>
      <c r="AC4" s="52">
        <f>$R$2*AB4+$S$2</f>
        <v>0.77146000000000003</v>
      </c>
      <c r="AD4" s="52">
        <f>AA4*AC4</f>
        <v>87.94644000000001</v>
      </c>
      <c r="AE4" s="62">
        <f>AD4*(1-$U$1)</f>
        <v>61.562508000000001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</row>
    <row r="5" spans="1:66" x14ac:dyDescent="0.3">
      <c r="A5" t="s">
        <v>62</v>
      </c>
      <c r="B5" t="s">
        <v>63</v>
      </c>
      <c r="C5" t="s">
        <v>61</v>
      </c>
      <c r="D5">
        <v>2</v>
      </c>
      <c r="E5" s="52">
        <v>1200</v>
      </c>
      <c r="F5" s="53">
        <v>0.347945</v>
      </c>
      <c r="G5" s="54">
        <v>5010.4080000000004</v>
      </c>
      <c r="H5" s="52">
        <v>133</v>
      </c>
      <c r="I5" s="53">
        <v>0.347945</v>
      </c>
      <c r="J5" s="52">
        <v>111</v>
      </c>
      <c r="K5" s="52">
        <v>149</v>
      </c>
      <c r="L5" s="52">
        <f t="shared" ref="L5:L68" si="0">K5-J5</f>
        <v>38</v>
      </c>
      <c r="M5" s="52">
        <f t="shared" ref="M5:M68" si="1">H5-J5</f>
        <v>22</v>
      </c>
      <c r="N5" s="55">
        <f t="shared" ref="N5:N68" si="2">($K$2*(M5))/L5+0.1</f>
        <v>0.56315789473684219</v>
      </c>
      <c r="O5" s="56">
        <f t="shared" ref="O5:O68" si="3">I5</f>
        <v>0.347945</v>
      </c>
      <c r="V5" s="54">
        <f t="shared" ref="V5:V68" si="4">J5</f>
        <v>111</v>
      </c>
      <c r="W5" s="52">
        <f t="shared" ref="W5:W68" si="5">1.25*L5</f>
        <v>47.5</v>
      </c>
      <c r="X5" s="52">
        <f t="shared" ref="X5:X68" si="6">V5-(L5)/8</f>
        <v>106.25</v>
      </c>
      <c r="Y5" s="55">
        <f t="shared" ref="Y5:Y68" si="7">1.25*L5/(2*$R$2)</f>
        <v>-30.010108668182966</v>
      </c>
      <c r="Z5" s="55">
        <f t="shared" ref="Z5:Z68" si="8">(($R$2*X5)/W5-$S$2)*Y5</f>
        <v>78.651598433156423</v>
      </c>
      <c r="AA5" s="55">
        <f t="shared" ref="AA5:AA68" si="9">IF(Z5&gt;V5,Z5,V5)</f>
        <v>111</v>
      </c>
      <c r="AB5" s="52">
        <f t="shared" ref="AB5:AB68" si="10">(AA5-X5)/W5</f>
        <v>0.1</v>
      </c>
      <c r="AC5" s="52">
        <f t="shared" ref="AC5:AC68" si="11">$R$2*AB5+$S$2</f>
        <v>0.77146000000000003</v>
      </c>
      <c r="AD5" s="52">
        <f t="shared" ref="AD5:AD68" si="12">AA5*AC5</f>
        <v>85.63206000000001</v>
      </c>
      <c r="AE5" s="62">
        <f t="shared" ref="AE5:AE68" si="13">AD5*(1-$U$1)</f>
        <v>59.942442</v>
      </c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</row>
    <row r="6" spans="1:66" x14ac:dyDescent="0.3">
      <c r="A6" t="s">
        <v>64</v>
      </c>
      <c r="B6" t="s">
        <v>65</v>
      </c>
      <c r="C6" t="s">
        <v>61</v>
      </c>
      <c r="D6">
        <v>1</v>
      </c>
      <c r="E6" s="52">
        <v>3300</v>
      </c>
      <c r="F6" s="53">
        <v>0.39726</v>
      </c>
      <c r="G6" s="54">
        <v>15731.495999999999</v>
      </c>
      <c r="H6" s="52">
        <v>372</v>
      </c>
      <c r="I6" s="53">
        <v>0.39726</v>
      </c>
      <c r="J6" s="52">
        <v>108</v>
      </c>
      <c r="K6" s="52">
        <v>610</v>
      </c>
      <c r="L6" s="52">
        <f t="shared" si="0"/>
        <v>502</v>
      </c>
      <c r="M6" s="52">
        <f t="shared" si="1"/>
        <v>264</v>
      </c>
      <c r="N6" s="55">
        <f t="shared" si="2"/>
        <v>0.52071713147410359</v>
      </c>
      <c r="O6" s="56">
        <f t="shared" si="3"/>
        <v>0.39726</v>
      </c>
      <c r="V6" s="54">
        <f t="shared" si="4"/>
        <v>108</v>
      </c>
      <c r="W6" s="52">
        <f t="shared" si="5"/>
        <v>627.5</v>
      </c>
      <c r="X6" s="52">
        <f t="shared" si="6"/>
        <v>45.25</v>
      </c>
      <c r="Y6" s="55">
        <f t="shared" si="7"/>
        <v>-396.44933030073287</v>
      </c>
      <c r="Z6" s="55">
        <f t="shared" si="8"/>
        <v>359.84480035380341</v>
      </c>
      <c r="AA6" s="55">
        <f t="shared" si="9"/>
        <v>359.84480035380341</v>
      </c>
      <c r="AB6" s="52">
        <f t="shared" si="10"/>
        <v>0.50134629538454722</v>
      </c>
      <c r="AC6" s="52">
        <f t="shared" si="11"/>
        <v>0.45383454183266936</v>
      </c>
      <c r="AD6" s="52">
        <f t="shared" si="12"/>
        <v>163.31000009943673</v>
      </c>
      <c r="AE6" s="62">
        <f t="shared" si="13"/>
        <v>114.31700006960571</v>
      </c>
    </row>
    <row r="7" spans="1:66" x14ac:dyDescent="0.3">
      <c r="A7" t="s">
        <v>66</v>
      </c>
      <c r="B7" t="s">
        <v>67</v>
      </c>
      <c r="C7" t="s">
        <v>61</v>
      </c>
      <c r="D7">
        <v>1</v>
      </c>
      <c r="E7" s="52">
        <v>1400</v>
      </c>
      <c r="F7" s="53">
        <v>0.36438400000000004</v>
      </c>
      <c r="G7" s="54">
        <v>6121.6512000000002</v>
      </c>
      <c r="H7" s="52">
        <v>302</v>
      </c>
      <c r="I7" s="53">
        <v>0.36438400000000004</v>
      </c>
      <c r="J7" s="52">
        <v>178</v>
      </c>
      <c r="K7" s="52">
        <v>533</v>
      </c>
      <c r="L7" s="52">
        <f t="shared" si="0"/>
        <v>355</v>
      </c>
      <c r="M7" s="52">
        <f t="shared" si="1"/>
        <v>124</v>
      </c>
      <c r="N7" s="55">
        <f t="shared" si="2"/>
        <v>0.37943661971830989</v>
      </c>
      <c r="O7" s="56">
        <f t="shared" si="3"/>
        <v>0.36438400000000004</v>
      </c>
      <c r="V7" s="54">
        <f t="shared" si="4"/>
        <v>178</v>
      </c>
      <c r="W7" s="52">
        <f t="shared" si="5"/>
        <v>443.75</v>
      </c>
      <c r="X7" s="52">
        <f t="shared" si="6"/>
        <v>133.625</v>
      </c>
      <c r="Y7" s="55">
        <f t="shared" si="7"/>
        <v>-280.35759413697247</v>
      </c>
      <c r="Z7" s="55">
        <f t="shared" si="8"/>
        <v>305.2846695729088</v>
      </c>
      <c r="AA7" s="55">
        <f t="shared" si="9"/>
        <v>305.2846695729088</v>
      </c>
      <c r="AB7" s="52">
        <f t="shared" si="10"/>
        <v>0.38683869199528742</v>
      </c>
      <c r="AC7" s="52">
        <f t="shared" si="11"/>
        <v>0.54445585915492956</v>
      </c>
      <c r="AD7" s="52">
        <f t="shared" si="12"/>
        <v>166.21402705914684</v>
      </c>
      <c r="AE7" s="62">
        <f t="shared" si="13"/>
        <v>116.34981894140279</v>
      </c>
    </row>
    <row r="8" spans="1:66" x14ac:dyDescent="0.3">
      <c r="A8" t="s">
        <v>68</v>
      </c>
      <c r="B8" t="s">
        <v>67</v>
      </c>
      <c r="C8" t="s">
        <v>61</v>
      </c>
      <c r="D8">
        <v>2</v>
      </c>
      <c r="E8" s="52">
        <v>2000</v>
      </c>
      <c r="F8" s="53">
        <v>0.41095900000000002</v>
      </c>
      <c r="G8" s="54">
        <v>9863.0159999999996</v>
      </c>
      <c r="H8" s="52">
        <v>429</v>
      </c>
      <c r="I8" s="53">
        <v>0.41095900000000002</v>
      </c>
      <c r="J8" s="52">
        <v>221</v>
      </c>
      <c r="K8" s="52">
        <v>617</v>
      </c>
      <c r="L8" s="52">
        <f t="shared" si="0"/>
        <v>396</v>
      </c>
      <c r="M8" s="52">
        <f t="shared" si="1"/>
        <v>208</v>
      </c>
      <c r="N8" s="55">
        <f t="shared" si="2"/>
        <v>0.52020202020202022</v>
      </c>
      <c r="O8" s="56">
        <f t="shared" si="3"/>
        <v>0.41095900000000002</v>
      </c>
      <c r="V8" s="54">
        <f t="shared" si="4"/>
        <v>221</v>
      </c>
      <c r="W8" s="52">
        <f t="shared" si="5"/>
        <v>495</v>
      </c>
      <c r="X8" s="52">
        <f t="shared" si="6"/>
        <v>171.5</v>
      </c>
      <c r="Y8" s="55">
        <f t="shared" si="7"/>
        <v>-312.73692191053829</v>
      </c>
      <c r="Z8" s="55">
        <f t="shared" si="8"/>
        <v>351.76402577710388</v>
      </c>
      <c r="AA8" s="55">
        <f t="shared" si="9"/>
        <v>351.76402577710388</v>
      </c>
      <c r="AB8" s="52">
        <f t="shared" si="10"/>
        <v>0.36416974904465432</v>
      </c>
      <c r="AC8" s="52">
        <f t="shared" si="11"/>
        <v>0.56239606060606062</v>
      </c>
      <c r="AD8" s="52">
        <f t="shared" si="12"/>
        <v>197.83070235997198</v>
      </c>
      <c r="AE8" s="62">
        <f t="shared" si="13"/>
        <v>138.48149165198038</v>
      </c>
    </row>
    <row r="9" spans="1:66" x14ac:dyDescent="0.3">
      <c r="A9" t="s">
        <v>69</v>
      </c>
      <c r="B9" t="s">
        <v>67</v>
      </c>
      <c r="C9" t="s">
        <v>70</v>
      </c>
      <c r="D9">
        <v>1</v>
      </c>
      <c r="E9" s="52">
        <v>1600</v>
      </c>
      <c r="F9" s="53">
        <v>0.41095900000000002</v>
      </c>
      <c r="G9" s="54">
        <v>7890.4128000000001</v>
      </c>
      <c r="H9" s="52">
        <v>380</v>
      </c>
      <c r="I9" s="53">
        <v>0.41095900000000002</v>
      </c>
      <c r="J9" s="52">
        <v>202</v>
      </c>
      <c r="K9" s="52">
        <v>646</v>
      </c>
      <c r="L9" s="52">
        <f t="shared" si="0"/>
        <v>444</v>
      </c>
      <c r="M9" s="52">
        <f t="shared" si="1"/>
        <v>178</v>
      </c>
      <c r="N9" s="55">
        <f t="shared" si="2"/>
        <v>0.42072072072072075</v>
      </c>
      <c r="O9" s="56">
        <f t="shared" si="3"/>
        <v>0.41095900000000002</v>
      </c>
      <c r="V9" s="54">
        <f t="shared" si="4"/>
        <v>202</v>
      </c>
      <c r="W9" s="52">
        <f t="shared" si="5"/>
        <v>555</v>
      </c>
      <c r="X9" s="52">
        <f t="shared" si="6"/>
        <v>146.5</v>
      </c>
      <c r="Y9" s="55">
        <f t="shared" si="7"/>
        <v>-350.64442759666412</v>
      </c>
      <c r="Z9" s="55">
        <f t="shared" si="8"/>
        <v>371.50815011372248</v>
      </c>
      <c r="AA9" s="55">
        <f t="shared" si="9"/>
        <v>371.50815011372248</v>
      </c>
      <c r="AB9" s="52">
        <f t="shared" si="10"/>
        <v>0.40542009029499548</v>
      </c>
      <c r="AC9" s="52">
        <f t="shared" si="11"/>
        <v>0.5297505405405406</v>
      </c>
      <c r="AD9" s="52">
        <f t="shared" si="12"/>
        <v>196.80664333796079</v>
      </c>
      <c r="AE9" s="62">
        <f t="shared" si="13"/>
        <v>137.76465033657254</v>
      </c>
    </row>
    <row r="10" spans="1:66" x14ac:dyDescent="0.3">
      <c r="A10" t="s">
        <v>71</v>
      </c>
      <c r="B10" t="s">
        <v>67</v>
      </c>
      <c r="C10" t="s">
        <v>70</v>
      </c>
      <c r="D10">
        <v>2</v>
      </c>
      <c r="E10" s="52">
        <v>2800</v>
      </c>
      <c r="F10" s="53">
        <v>0.52602700000000002</v>
      </c>
      <c r="G10" s="54">
        <v>17674.5072</v>
      </c>
      <c r="H10" s="52">
        <v>374</v>
      </c>
      <c r="I10" s="53">
        <v>0.52602700000000002</v>
      </c>
      <c r="J10" s="52">
        <v>197</v>
      </c>
      <c r="K10" s="52">
        <v>639</v>
      </c>
      <c r="L10" s="52">
        <f t="shared" si="0"/>
        <v>442</v>
      </c>
      <c r="M10" s="52">
        <f t="shared" si="1"/>
        <v>177</v>
      </c>
      <c r="N10" s="55">
        <f t="shared" si="2"/>
        <v>0.42036199095022619</v>
      </c>
      <c r="O10" s="56">
        <f t="shared" si="3"/>
        <v>0.52602700000000002</v>
      </c>
      <c r="V10" s="54">
        <f t="shared" si="4"/>
        <v>197</v>
      </c>
      <c r="W10" s="52">
        <f t="shared" si="5"/>
        <v>552.5</v>
      </c>
      <c r="X10" s="52">
        <f t="shared" si="6"/>
        <v>141.75</v>
      </c>
      <c r="Y10" s="55">
        <f t="shared" si="7"/>
        <v>-349.06494819307557</v>
      </c>
      <c r="Z10" s="55">
        <f t="shared" si="8"/>
        <v>367.78964493303005</v>
      </c>
      <c r="AA10" s="55">
        <f t="shared" si="9"/>
        <v>367.78964493303005</v>
      </c>
      <c r="AB10" s="52">
        <f t="shared" si="10"/>
        <v>0.40912152929055212</v>
      </c>
      <c r="AC10" s="52">
        <f t="shared" si="11"/>
        <v>0.526821221719457</v>
      </c>
      <c r="AD10" s="52">
        <f t="shared" si="12"/>
        <v>193.75939007938419</v>
      </c>
      <c r="AE10" s="62">
        <f t="shared" si="13"/>
        <v>135.63157305556894</v>
      </c>
    </row>
    <row r="11" spans="1:66" x14ac:dyDescent="0.3">
      <c r="A11" t="s">
        <v>72</v>
      </c>
      <c r="B11" t="s">
        <v>73</v>
      </c>
      <c r="C11" t="s">
        <v>61</v>
      </c>
      <c r="D11">
        <v>1</v>
      </c>
      <c r="E11" s="52">
        <v>1100</v>
      </c>
      <c r="F11" s="53">
        <v>0.43287700000000001</v>
      </c>
      <c r="G11" s="54">
        <v>5713.9764000000005</v>
      </c>
      <c r="H11" s="52">
        <v>386</v>
      </c>
      <c r="I11" s="53">
        <v>0.43287700000000001</v>
      </c>
      <c r="J11" s="52">
        <v>114</v>
      </c>
      <c r="K11" s="52">
        <v>477</v>
      </c>
      <c r="L11" s="52">
        <f t="shared" si="0"/>
        <v>363</v>
      </c>
      <c r="M11" s="52">
        <f t="shared" si="1"/>
        <v>272</v>
      </c>
      <c r="N11" s="55">
        <f t="shared" si="2"/>
        <v>0.69944903581267226</v>
      </c>
      <c r="O11" s="56">
        <f t="shared" si="3"/>
        <v>0.43287700000000001</v>
      </c>
      <c r="V11" s="54">
        <f t="shared" si="4"/>
        <v>114</v>
      </c>
      <c r="W11" s="52">
        <f t="shared" si="5"/>
        <v>453.75</v>
      </c>
      <c r="X11" s="52">
        <f t="shared" si="6"/>
        <v>68.625</v>
      </c>
      <c r="Y11" s="55">
        <f t="shared" si="7"/>
        <v>-286.67551175132678</v>
      </c>
      <c r="Z11" s="55">
        <f t="shared" si="8"/>
        <v>278.15869029567858</v>
      </c>
      <c r="AA11" s="55">
        <f t="shared" si="9"/>
        <v>278.15869029567858</v>
      </c>
      <c r="AB11" s="52">
        <f t="shared" si="10"/>
        <v>0.46178223756623377</v>
      </c>
      <c r="AC11" s="52">
        <f t="shared" si="11"/>
        <v>0.48514553719008263</v>
      </c>
      <c r="AD11" s="52">
        <f t="shared" si="12"/>
        <v>134.94744722758682</v>
      </c>
      <c r="AE11" s="62">
        <f t="shared" si="13"/>
        <v>94.463213059310775</v>
      </c>
    </row>
    <row r="12" spans="1:66" x14ac:dyDescent="0.3">
      <c r="A12" t="s">
        <v>74</v>
      </c>
      <c r="B12" t="s">
        <v>73</v>
      </c>
      <c r="C12" t="s">
        <v>61</v>
      </c>
      <c r="D12">
        <v>2</v>
      </c>
      <c r="E12" s="52">
        <v>1900</v>
      </c>
      <c r="F12" s="53">
        <v>0.69589000000000001</v>
      </c>
      <c r="G12" s="54">
        <v>15866.291999999999</v>
      </c>
      <c r="H12" s="52">
        <v>212</v>
      </c>
      <c r="I12" s="53">
        <v>0.69589000000000001</v>
      </c>
      <c r="J12" s="52">
        <v>80</v>
      </c>
      <c r="K12" s="52">
        <v>583</v>
      </c>
      <c r="L12" s="52">
        <f t="shared" si="0"/>
        <v>503</v>
      </c>
      <c r="M12" s="52">
        <f t="shared" si="1"/>
        <v>132</v>
      </c>
      <c r="N12" s="55">
        <f t="shared" si="2"/>
        <v>0.30994035785288276</v>
      </c>
      <c r="O12" s="56">
        <f t="shared" si="3"/>
        <v>0.69589000000000001</v>
      </c>
      <c r="V12" s="54">
        <f t="shared" si="4"/>
        <v>80</v>
      </c>
      <c r="W12" s="52">
        <f t="shared" si="5"/>
        <v>628.75</v>
      </c>
      <c r="X12" s="52">
        <f t="shared" si="6"/>
        <v>17.125</v>
      </c>
      <c r="Y12" s="55">
        <f t="shared" si="7"/>
        <v>-397.23907000252717</v>
      </c>
      <c r="Z12" s="55">
        <f t="shared" si="8"/>
        <v>346.45405294414962</v>
      </c>
      <c r="AA12" s="55">
        <f t="shared" si="9"/>
        <v>346.45405294414962</v>
      </c>
      <c r="AB12" s="52">
        <f t="shared" si="10"/>
        <v>0.52378378201852827</v>
      </c>
      <c r="AC12" s="52">
        <f t="shared" si="11"/>
        <v>0.43607751491053676</v>
      </c>
      <c r="AD12" s="52">
        <f t="shared" si="12"/>
        <v>151.0808224385683</v>
      </c>
      <c r="AE12" s="62">
        <f t="shared" si="13"/>
        <v>105.75657570699781</v>
      </c>
    </row>
    <row r="13" spans="1:66" x14ac:dyDescent="0.3">
      <c r="A13" t="s">
        <v>75</v>
      </c>
      <c r="B13" t="s">
        <v>73</v>
      </c>
      <c r="C13" t="s">
        <v>70</v>
      </c>
      <c r="D13">
        <v>1</v>
      </c>
      <c r="E13" s="52">
        <v>1800</v>
      </c>
      <c r="F13" s="53">
        <v>0.10958899999999999</v>
      </c>
      <c r="G13" s="54">
        <v>2367.1223999999997</v>
      </c>
      <c r="H13" s="52">
        <v>969</v>
      </c>
      <c r="I13" s="53">
        <v>0.10958899999999999</v>
      </c>
      <c r="J13" s="52">
        <v>239</v>
      </c>
      <c r="K13" s="52">
        <v>1431</v>
      </c>
      <c r="L13" s="52">
        <f t="shared" si="0"/>
        <v>1192</v>
      </c>
      <c r="M13" s="52">
        <f t="shared" si="1"/>
        <v>730</v>
      </c>
      <c r="N13" s="55">
        <f t="shared" si="2"/>
        <v>0.58993288590604032</v>
      </c>
      <c r="O13" s="56">
        <f t="shared" si="3"/>
        <v>0.10958899999999999</v>
      </c>
      <c r="V13" s="54">
        <f t="shared" si="4"/>
        <v>239</v>
      </c>
      <c r="W13" s="52">
        <f t="shared" si="5"/>
        <v>1490</v>
      </c>
      <c r="X13" s="52">
        <f t="shared" si="6"/>
        <v>90</v>
      </c>
      <c r="Y13" s="55">
        <f t="shared" si="7"/>
        <v>-941.36972453879207</v>
      </c>
      <c r="Z13" s="55">
        <f t="shared" si="8"/>
        <v>845.72908769269657</v>
      </c>
      <c r="AA13" s="55">
        <f t="shared" si="9"/>
        <v>845.72908769269657</v>
      </c>
      <c r="AB13" s="52">
        <f t="shared" si="10"/>
        <v>0.50720072999509835</v>
      </c>
      <c r="AC13" s="52">
        <f t="shared" si="11"/>
        <v>0.44920134228187919</v>
      </c>
      <c r="AD13" s="52">
        <f t="shared" si="12"/>
        <v>379.90264139838843</v>
      </c>
      <c r="AE13" s="62">
        <f t="shared" si="13"/>
        <v>265.93184897887187</v>
      </c>
    </row>
    <row r="14" spans="1:66" x14ac:dyDescent="0.3">
      <c r="A14" t="s">
        <v>76</v>
      </c>
      <c r="B14" t="s">
        <v>73</v>
      </c>
      <c r="C14" t="s">
        <v>70</v>
      </c>
      <c r="D14">
        <v>2</v>
      </c>
      <c r="E14" s="52">
        <v>3200</v>
      </c>
      <c r="F14" s="53">
        <v>0.22465800000000002</v>
      </c>
      <c r="G14" s="54">
        <v>8626.8672000000006</v>
      </c>
      <c r="H14" s="52">
        <v>885</v>
      </c>
      <c r="I14" s="53">
        <v>0.22465800000000002</v>
      </c>
      <c r="J14" s="52">
        <v>236</v>
      </c>
      <c r="K14" s="52">
        <v>1533</v>
      </c>
      <c r="L14" s="52">
        <f t="shared" si="0"/>
        <v>1297</v>
      </c>
      <c r="M14" s="52">
        <f t="shared" si="1"/>
        <v>649</v>
      </c>
      <c r="N14" s="55">
        <f t="shared" si="2"/>
        <v>0.50030840400925214</v>
      </c>
      <c r="O14" s="56">
        <f t="shared" si="3"/>
        <v>0.22465800000000002</v>
      </c>
      <c r="V14" s="54">
        <f t="shared" si="4"/>
        <v>236</v>
      </c>
      <c r="W14" s="52">
        <f t="shared" si="5"/>
        <v>1621.25</v>
      </c>
      <c r="X14" s="52">
        <f t="shared" si="6"/>
        <v>73.875</v>
      </c>
      <c r="Y14" s="55">
        <f t="shared" si="7"/>
        <v>-1024.2923932271924</v>
      </c>
      <c r="Z14" s="55">
        <f t="shared" si="8"/>
        <v>908.20060967904988</v>
      </c>
      <c r="AA14" s="55">
        <f t="shared" si="9"/>
        <v>908.20060967904988</v>
      </c>
      <c r="AB14" s="52">
        <f t="shared" si="10"/>
        <v>0.51461872609347714</v>
      </c>
      <c r="AC14" s="52">
        <f t="shared" si="11"/>
        <v>0.44333074016962221</v>
      </c>
      <c r="AD14" s="52">
        <f t="shared" si="12"/>
        <v>402.63324851151532</v>
      </c>
      <c r="AE14" s="62">
        <f t="shared" si="13"/>
        <v>281.84327395806071</v>
      </c>
    </row>
    <row r="15" spans="1:66" x14ac:dyDescent="0.3">
      <c r="A15" t="s">
        <v>77</v>
      </c>
      <c r="B15" t="s">
        <v>78</v>
      </c>
      <c r="C15" t="s">
        <v>61</v>
      </c>
      <c r="D15">
        <v>1</v>
      </c>
      <c r="E15" s="52">
        <v>1000</v>
      </c>
      <c r="F15" s="53">
        <v>0.21917799999999998</v>
      </c>
      <c r="G15" s="54">
        <v>2630.136</v>
      </c>
      <c r="H15" s="52">
        <v>287</v>
      </c>
      <c r="I15" s="53">
        <v>0.21917799999999998</v>
      </c>
      <c r="J15" s="52">
        <v>138</v>
      </c>
      <c r="K15" s="52">
        <v>550</v>
      </c>
      <c r="L15" s="52">
        <f t="shared" si="0"/>
        <v>412</v>
      </c>
      <c r="M15" s="52">
        <f t="shared" si="1"/>
        <v>149</v>
      </c>
      <c r="N15" s="55">
        <f t="shared" si="2"/>
        <v>0.38932038834951455</v>
      </c>
      <c r="O15" s="56">
        <f t="shared" si="3"/>
        <v>0.21917799999999998</v>
      </c>
      <c r="V15" s="54">
        <f t="shared" si="4"/>
        <v>138</v>
      </c>
      <c r="W15" s="52">
        <f t="shared" si="5"/>
        <v>515</v>
      </c>
      <c r="X15" s="52">
        <f t="shared" si="6"/>
        <v>86.5</v>
      </c>
      <c r="Y15" s="55">
        <f t="shared" si="7"/>
        <v>-325.37275713924691</v>
      </c>
      <c r="Z15" s="55">
        <f t="shared" si="8"/>
        <v>320.01206722264345</v>
      </c>
      <c r="AA15" s="55">
        <f t="shared" si="9"/>
        <v>320.01206722264345</v>
      </c>
      <c r="AB15" s="52">
        <f t="shared" si="10"/>
        <v>0.45342148975270574</v>
      </c>
      <c r="AC15" s="52">
        <f t="shared" si="11"/>
        <v>0.49176223300970873</v>
      </c>
      <c r="AD15" s="52">
        <f t="shared" si="12"/>
        <v>157.36984876746016</v>
      </c>
      <c r="AE15" s="62">
        <f t="shared" si="13"/>
        <v>110.15889413722211</v>
      </c>
    </row>
    <row r="16" spans="1:66" x14ac:dyDescent="0.3">
      <c r="A16" t="s">
        <v>79</v>
      </c>
      <c r="B16" t="s">
        <v>63</v>
      </c>
      <c r="C16" t="s">
        <v>70</v>
      </c>
      <c r="D16">
        <v>1</v>
      </c>
      <c r="E16" s="52">
        <v>1000</v>
      </c>
      <c r="F16" s="53">
        <v>0.39178099999999999</v>
      </c>
      <c r="G16" s="54">
        <v>4701.3720000000003</v>
      </c>
      <c r="H16" s="52">
        <v>206</v>
      </c>
      <c r="I16" s="53">
        <v>0.39178099999999999</v>
      </c>
      <c r="J16" s="52">
        <v>116</v>
      </c>
      <c r="K16" s="52">
        <v>296</v>
      </c>
      <c r="L16" s="52">
        <f t="shared" si="0"/>
        <v>180</v>
      </c>
      <c r="M16" s="52">
        <f t="shared" si="1"/>
        <v>90</v>
      </c>
      <c r="N16" s="55">
        <f t="shared" si="2"/>
        <v>0.5</v>
      </c>
      <c r="O16" s="56">
        <f t="shared" si="3"/>
        <v>0.39178099999999999</v>
      </c>
      <c r="V16" s="54">
        <f t="shared" si="4"/>
        <v>116</v>
      </c>
      <c r="W16" s="52">
        <f t="shared" si="5"/>
        <v>225</v>
      </c>
      <c r="X16" s="52">
        <f t="shared" si="6"/>
        <v>93.5</v>
      </c>
      <c r="Y16" s="55">
        <f t="shared" si="7"/>
        <v>-142.15314632297196</v>
      </c>
      <c r="Z16" s="55">
        <f t="shared" si="8"/>
        <v>167.66546626231997</v>
      </c>
      <c r="AA16" s="55">
        <f t="shared" si="9"/>
        <v>167.66546626231997</v>
      </c>
      <c r="AB16" s="52">
        <f t="shared" si="10"/>
        <v>0.32962429449919983</v>
      </c>
      <c r="AC16" s="52">
        <f t="shared" si="11"/>
        <v>0.58973533333333328</v>
      </c>
      <c r="AD16" s="52">
        <f t="shared" si="12"/>
        <v>98.878249634698008</v>
      </c>
      <c r="AE16" s="62">
        <f t="shared" si="13"/>
        <v>69.214774744288604</v>
      </c>
    </row>
    <row r="17" spans="1:31" x14ac:dyDescent="0.3">
      <c r="A17" t="s">
        <v>80</v>
      </c>
      <c r="B17" t="s">
        <v>78</v>
      </c>
      <c r="C17" t="s">
        <v>61</v>
      </c>
      <c r="D17">
        <v>2</v>
      </c>
      <c r="E17" s="52">
        <v>1300</v>
      </c>
      <c r="F17" s="53">
        <v>0.53698599999999996</v>
      </c>
      <c r="G17" s="54">
        <v>8376.9815999999992</v>
      </c>
      <c r="H17" s="52">
        <v>462</v>
      </c>
      <c r="I17" s="53">
        <v>0.53698599999999996</v>
      </c>
      <c r="J17" s="52">
        <v>175</v>
      </c>
      <c r="K17" s="52">
        <v>917</v>
      </c>
      <c r="L17" s="52">
        <f t="shared" si="0"/>
        <v>742</v>
      </c>
      <c r="M17" s="52">
        <f t="shared" si="1"/>
        <v>287</v>
      </c>
      <c r="N17" s="55">
        <f t="shared" si="2"/>
        <v>0.40943396226415096</v>
      </c>
      <c r="O17" s="56">
        <f t="shared" si="3"/>
        <v>0.53698599999999996</v>
      </c>
      <c r="V17" s="54">
        <f t="shared" si="4"/>
        <v>175</v>
      </c>
      <c r="W17" s="52">
        <f t="shared" si="5"/>
        <v>927.5</v>
      </c>
      <c r="X17" s="52">
        <f t="shared" si="6"/>
        <v>82.25</v>
      </c>
      <c r="Y17" s="55">
        <f t="shared" si="7"/>
        <v>-585.98685873136219</v>
      </c>
      <c r="Z17" s="55">
        <f t="shared" si="8"/>
        <v>539.56542203689673</v>
      </c>
      <c r="AA17" s="55">
        <f t="shared" si="9"/>
        <v>539.56542203689673</v>
      </c>
      <c r="AB17" s="52">
        <f t="shared" si="10"/>
        <v>0.49306244963546819</v>
      </c>
      <c r="AC17" s="52">
        <f t="shared" si="11"/>
        <v>0.46039037735849048</v>
      </c>
      <c r="AD17" s="52">
        <f t="shared" si="12"/>
        <v>248.41072826116007</v>
      </c>
      <c r="AE17" s="62">
        <f t="shared" si="13"/>
        <v>173.88750978281203</v>
      </c>
    </row>
    <row r="18" spans="1:31" x14ac:dyDescent="0.3">
      <c r="A18" t="s">
        <v>81</v>
      </c>
      <c r="B18" t="s">
        <v>78</v>
      </c>
      <c r="C18" t="s">
        <v>70</v>
      </c>
      <c r="D18">
        <v>1</v>
      </c>
      <c r="E18" s="52">
        <v>1200</v>
      </c>
      <c r="F18" s="53">
        <v>0.51232900000000003</v>
      </c>
      <c r="G18" s="54">
        <v>7377.5376000000006</v>
      </c>
      <c r="H18" s="52">
        <v>389</v>
      </c>
      <c r="I18" s="53">
        <v>0.51232900000000003</v>
      </c>
      <c r="J18" s="52">
        <v>130</v>
      </c>
      <c r="K18" s="52">
        <v>821</v>
      </c>
      <c r="L18" s="52">
        <f t="shared" si="0"/>
        <v>691</v>
      </c>
      <c r="M18" s="52">
        <f t="shared" si="1"/>
        <v>259</v>
      </c>
      <c r="N18" s="55">
        <f t="shared" si="2"/>
        <v>0.39985528219971056</v>
      </c>
      <c r="O18" s="56">
        <f t="shared" si="3"/>
        <v>0.51232900000000003</v>
      </c>
      <c r="V18" s="54">
        <f t="shared" si="4"/>
        <v>130</v>
      </c>
      <c r="W18" s="52">
        <f t="shared" si="5"/>
        <v>863.75</v>
      </c>
      <c r="X18" s="52">
        <f t="shared" si="6"/>
        <v>43.625</v>
      </c>
      <c r="Y18" s="55">
        <f t="shared" si="7"/>
        <v>-545.71013393985345</v>
      </c>
      <c r="Z18" s="55">
        <f t="shared" si="8"/>
        <v>485.99353992923938</v>
      </c>
      <c r="AA18" s="55">
        <f t="shared" si="9"/>
        <v>485.99353992923938</v>
      </c>
      <c r="AB18" s="52">
        <f t="shared" si="10"/>
        <v>0.51214881612647101</v>
      </c>
      <c r="AC18" s="52">
        <f t="shared" si="11"/>
        <v>0.44528542691751088</v>
      </c>
      <c r="AD18" s="52">
        <f t="shared" si="12"/>
        <v>216.40584090654372</v>
      </c>
      <c r="AE18" s="62">
        <f t="shared" si="13"/>
        <v>151.48408863458059</v>
      </c>
    </row>
    <row r="19" spans="1:31" x14ac:dyDescent="0.3">
      <c r="A19" t="s">
        <v>82</v>
      </c>
      <c r="B19" t="s">
        <v>78</v>
      </c>
      <c r="C19" t="s">
        <v>70</v>
      </c>
      <c r="D19">
        <v>2</v>
      </c>
      <c r="E19" s="52">
        <v>1600</v>
      </c>
      <c r="F19" s="53">
        <v>0.36164400000000002</v>
      </c>
      <c r="G19" s="54">
        <v>6943.5648000000001</v>
      </c>
      <c r="H19" s="52">
        <v>678</v>
      </c>
      <c r="I19" s="53">
        <v>0.36164400000000002</v>
      </c>
      <c r="J19" s="52">
        <v>241</v>
      </c>
      <c r="K19" s="52">
        <v>866</v>
      </c>
      <c r="L19" s="52">
        <f t="shared" si="0"/>
        <v>625</v>
      </c>
      <c r="M19" s="52">
        <f t="shared" si="1"/>
        <v>437</v>
      </c>
      <c r="N19" s="55">
        <f t="shared" si="2"/>
        <v>0.65936000000000006</v>
      </c>
      <c r="O19" s="56">
        <f t="shared" si="3"/>
        <v>0.36164400000000002</v>
      </c>
      <c r="V19" s="54">
        <f t="shared" si="4"/>
        <v>241</v>
      </c>
      <c r="W19" s="52">
        <f t="shared" si="5"/>
        <v>781.25</v>
      </c>
      <c r="X19" s="52">
        <f t="shared" si="6"/>
        <v>162.875</v>
      </c>
      <c r="Y19" s="55">
        <f t="shared" si="7"/>
        <v>-493.58731362143038</v>
      </c>
      <c r="Z19" s="55">
        <f t="shared" si="8"/>
        <v>501.28286896638872</v>
      </c>
      <c r="AA19" s="55">
        <f t="shared" si="9"/>
        <v>501.28286896638872</v>
      </c>
      <c r="AB19" s="52">
        <f t="shared" si="10"/>
        <v>0.43316207227697756</v>
      </c>
      <c r="AC19" s="52">
        <f t="shared" si="11"/>
        <v>0.50779553599999994</v>
      </c>
      <c r="AD19" s="52">
        <f t="shared" si="12"/>
        <v>254.5492031344051</v>
      </c>
      <c r="AE19" s="62">
        <f t="shared" si="13"/>
        <v>178.18444219408357</v>
      </c>
    </row>
    <row r="20" spans="1:31" x14ac:dyDescent="0.3">
      <c r="A20" t="s">
        <v>83</v>
      </c>
      <c r="B20" t="s">
        <v>84</v>
      </c>
      <c r="C20" t="s">
        <v>61</v>
      </c>
      <c r="D20">
        <v>1</v>
      </c>
      <c r="E20" s="52">
        <v>800</v>
      </c>
      <c r="F20" s="53">
        <v>0.84383600000000003</v>
      </c>
      <c r="G20" s="54">
        <v>8100.8256000000001</v>
      </c>
      <c r="H20" s="52">
        <v>163</v>
      </c>
      <c r="I20" s="53">
        <v>0.84383600000000003</v>
      </c>
      <c r="J20" s="52">
        <v>134</v>
      </c>
      <c r="K20" s="52">
        <v>288</v>
      </c>
      <c r="L20" s="52">
        <f t="shared" si="0"/>
        <v>154</v>
      </c>
      <c r="M20" s="52">
        <f t="shared" si="1"/>
        <v>29</v>
      </c>
      <c r="N20" s="55">
        <f t="shared" si="2"/>
        <v>0.25064935064935068</v>
      </c>
      <c r="O20" s="56">
        <f t="shared" si="3"/>
        <v>0.84383600000000003</v>
      </c>
      <c r="V20" s="54">
        <f t="shared" si="4"/>
        <v>134</v>
      </c>
      <c r="W20" s="52">
        <f t="shared" si="5"/>
        <v>192.5</v>
      </c>
      <c r="X20" s="52">
        <f t="shared" si="6"/>
        <v>114.75</v>
      </c>
      <c r="Y20" s="55">
        <f t="shared" si="7"/>
        <v>-121.61991407632044</v>
      </c>
      <c r="Z20" s="55">
        <f t="shared" si="8"/>
        <v>160.82489891331815</v>
      </c>
      <c r="AA20" s="55">
        <f t="shared" si="9"/>
        <v>160.82489891331815</v>
      </c>
      <c r="AB20" s="52">
        <f t="shared" si="10"/>
        <v>0.23935012422502935</v>
      </c>
      <c r="AC20" s="52">
        <f t="shared" si="11"/>
        <v>0.66117831168831176</v>
      </c>
      <c r="AD20" s="52">
        <f t="shared" si="12"/>
        <v>106.3339351409511</v>
      </c>
      <c r="AE20" s="62">
        <f t="shared" si="13"/>
        <v>74.433754598665757</v>
      </c>
    </row>
    <row r="21" spans="1:31" x14ac:dyDescent="0.3">
      <c r="A21" t="s">
        <v>85</v>
      </c>
      <c r="B21" t="s">
        <v>84</v>
      </c>
      <c r="C21" t="s">
        <v>61</v>
      </c>
      <c r="D21">
        <v>2</v>
      </c>
      <c r="E21" s="52">
        <v>1200</v>
      </c>
      <c r="F21" s="53">
        <v>0.91506799999999999</v>
      </c>
      <c r="G21" s="54">
        <v>13176.9792</v>
      </c>
      <c r="H21" s="52">
        <v>374</v>
      </c>
      <c r="I21" s="53">
        <v>0.91506799999999999</v>
      </c>
      <c r="J21" s="52">
        <v>234</v>
      </c>
      <c r="K21" s="52">
        <v>794</v>
      </c>
      <c r="L21" s="52">
        <f t="shared" si="0"/>
        <v>560</v>
      </c>
      <c r="M21" s="52">
        <f t="shared" si="1"/>
        <v>140</v>
      </c>
      <c r="N21" s="55">
        <f t="shared" si="2"/>
        <v>0.30000000000000004</v>
      </c>
      <c r="O21" s="56">
        <f t="shared" si="3"/>
        <v>0.91506799999999999</v>
      </c>
      <c r="V21" s="54">
        <f t="shared" si="4"/>
        <v>234</v>
      </c>
      <c r="W21" s="52">
        <f t="shared" si="5"/>
        <v>700</v>
      </c>
      <c r="X21" s="52">
        <f t="shared" si="6"/>
        <v>164</v>
      </c>
      <c r="Y21" s="55">
        <f t="shared" si="7"/>
        <v>-442.25423300480162</v>
      </c>
      <c r="Z21" s="55">
        <f t="shared" si="8"/>
        <v>458.18145059388422</v>
      </c>
      <c r="AA21" s="55">
        <f t="shared" si="9"/>
        <v>458.18145059388422</v>
      </c>
      <c r="AB21" s="52">
        <f t="shared" si="10"/>
        <v>0.42025921513412029</v>
      </c>
      <c r="AC21" s="52">
        <f t="shared" si="11"/>
        <v>0.51800685714285721</v>
      </c>
      <c r="AD21" s="52">
        <f t="shared" si="12"/>
        <v>237.34113322329327</v>
      </c>
      <c r="AE21" s="62">
        <f t="shared" si="13"/>
        <v>166.13879325630529</v>
      </c>
    </row>
    <row r="22" spans="1:31" x14ac:dyDescent="0.3">
      <c r="A22" t="s">
        <v>86</v>
      </c>
      <c r="B22" t="s">
        <v>84</v>
      </c>
      <c r="C22" t="s">
        <v>70</v>
      </c>
      <c r="D22">
        <v>1</v>
      </c>
      <c r="E22" s="52">
        <v>900</v>
      </c>
      <c r="F22" s="53">
        <v>0.43013699999999999</v>
      </c>
      <c r="G22" s="54">
        <v>4645.4795999999997</v>
      </c>
      <c r="H22" s="52">
        <v>444</v>
      </c>
      <c r="I22" s="53">
        <v>0.43013699999999999</v>
      </c>
      <c r="J22" s="52">
        <v>252</v>
      </c>
      <c r="K22" s="52">
        <v>547</v>
      </c>
      <c r="L22" s="52">
        <f t="shared" si="0"/>
        <v>295</v>
      </c>
      <c r="M22" s="52">
        <f t="shared" si="1"/>
        <v>192</v>
      </c>
      <c r="N22" s="55">
        <f t="shared" si="2"/>
        <v>0.62067796610169501</v>
      </c>
      <c r="O22" s="56">
        <f t="shared" si="3"/>
        <v>0.43013699999999999</v>
      </c>
      <c r="V22" s="54">
        <f t="shared" si="4"/>
        <v>252</v>
      </c>
      <c r="W22" s="52">
        <f t="shared" si="5"/>
        <v>368.75</v>
      </c>
      <c r="X22" s="52">
        <f t="shared" si="6"/>
        <v>215.125</v>
      </c>
      <c r="Y22" s="55">
        <f t="shared" si="7"/>
        <v>-232.97321202931514</v>
      </c>
      <c r="Z22" s="55">
        <f t="shared" si="8"/>
        <v>305.72951415213544</v>
      </c>
      <c r="AA22" s="55">
        <f t="shared" si="9"/>
        <v>305.72951415213544</v>
      </c>
      <c r="AB22" s="52">
        <f t="shared" si="10"/>
        <v>0.24570715702274018</v>
      </c>
      <c r="AC22" s="52">
        <f t="shared" si="11"/>
        <v>0.65614735593220341</v>
      </c>
      <c r="AD22" s="52">
        <f t="shared" si="12"/>
        <v>200.60361234136084</v>
      </c>
      <c r="AE22" s="62">
        <f t="shared" si="13"/>
        <v>140.42252863895257</v>
      </c>
    </row>
    <row r="23" spans="1:31" x14ac:dyDescent="0.3">
      <c r="A23" t="s">
        <v>87</v>
      </c>
      <c r="B23" t="s">
        <v>84</v>
      </c>
      <c r="C23" t="s">
        <v>70</v>
      </c>
      <c r="D23">
        <v>2</v>
      </c>
      <c r="E23" s="52">
        <v>1100</v>
      </c>
      <c r="F23" s="53">
        <v>0.48219200000000001</v>
      </c>
      <c r="G23" s="54">
        <v>6364.9344000000001</v>
      </c>
      <c r="H23" s="52">
        <v>426</v>
      </c>
      <c r="I23" s="53">
        <v>0.48219200000000001</v>
      </c>
      <c r="J23" s="52">
        <v>246</v>
      </c>
      <c r="K23" s="52">
        <v>616</v>
      </c>
      <c r="L23" s="52">
        <f t="shared" si="0"/>
        <v>370</v>
      </c>
      <c r="M23" s="52">
        <f t="shared" si="1"/>
        <v>180</v>
      </c>
      <c r="N23" s="55">
        <f t="shared" si="2"/>
        <v>0.48918918918918919</v>
      </c>
      <c r="O23" s="56">
        <f t="shared" si="3"/>
        <v>0.48219200000000001</v>
      </c>
      <c r="V23" s="54">
        <f t="shared" si="4"/>
        <v>246</v>
      </c>
      <c r="W23" s="52">
        <f t="shared" si="5"/>
        <v>462.5</v>
      </c>
      <c r="X23" s="52">
        <f t="shared" si="6"/>
        <v>199.75</v>
      </c>
      <c r="Y23" s="55">
        <f t="shared" si="7"/>
        <v>-292.20368966388679</v>
      </c>
      <c r="Z23" s="55">
        <f t="shared" si="8"/>
        <v>348.42345842810215</v>
      </c>
      <c r="AA23" s="55">
        <f t="shared" si="9"/>
        <v>348.42345842810215</v>
      </c>
      <c r="AB23" s="52">
        <f t="shared" si="10"/>
        <v>0.32145612633103166</v>
      </c>
      <c r="AC23" s="52">
        <f t="shared" si="11"/>
        <v>0.59619962162162166</v>
      </c>
      <c r="AD23" s="52">
        <f t="shared" si="12"/>
        <v>207.72993407893134</v>
      </c>
      <c r="AE23" s="62">
        <f t="shared" si="13"/>
        <v>145.41095385525193</v>
      </c>
    </row>
    <row r="24" spans="1:31" x14ac:dyDescent="0.3">
      <c r="A24" t="s">
        <v>88</v>
      </c>
      <c r="B24" t="s">
        <v>89</v>
      </c>
      <c r="C24" t="s">
        <v>61</v>
      </c>
      <c r="D24">
        <v>1</v>
      </c>
      <c r="E24" s="52">
        <v>1000</v>
      </c>
      <c r="F24" s="53">
        <v>0.49041099999999999</v>
      </c>
      <c r="G24" s="54">
        <v>5884.9319999999998</v>
      </c>
      <c r="H24" s="52">
        <v>332</v>
      </c>
      <c r="I24" s="53">
        <v>0.49041099999999999</v>
      </c>
      <c r="J24" s="52">
        <v>171</v>
      </c>
      <c r="K24" s="52">
        <v>457</v>
      </c>
      <c r="L24" s="52">
        <f t="shared" si="0"/>
        <v>286</v>
      </c>
      <c r="M24" s="52">
        <f t="shared" si="1"/>
        <v>161</v>
      </c>
      <c r="N24" s="55">
        <f t="shared" si="2"/>
        <v>0.55034965034965044</v>
      </c>
      <c r="O24" s="56">
        <f t="shared" si="3"/>
        <v>0.49041099999999999</v>
      </c>
      <c r="V24" s="54">
        <f t="shared" si="4"/>
        <v>171</v>
      </c>
      <c r="W24" s="52">
        <f t="shared" si="5"/>
        <v>357.5</v>
      </c>
      <c r="X24" s="52">
        <f t="shared" si="6"/>
        <v>135.25</v>
      </c>
      <c r="Y24" s="55">
        <f t="shared" si="7"/>
        <v>-225.86555471316655</v>
      </c>
      <c r="Z24" s="55">
        <f t="shared" si="8"/>
        <v>259.74624083901949</v>
      </c>
      <c r="AA24" s="55">
        <f t="shared" si="9"/>
        <v>259.74624083901949</v>
      </c>
      <c r="AB24" s="52">
        <f t="shared" si="10"/>
        <v>0.34824123311613842</v>
      </c>
      <c r="AC24" s="52">
        <f t="shared" si="11"/>
        <v>0.57500188811188813</v>
      </c>
      <c r="AD24" s="52">
        <f t="shared" si="12"/>
        <v>149.35457891240142</v>
      </c>
      <c r="AE24" s="62">
        <f t="shared" si="13"/>
        <v>104.54820523868099</v>
      </c>
    </row>
    <row r="25" spans="1:31" x14ac:dyDescent="0.3">
      <c r="A25" t="s">
        <v>90</v>
      </c>
      <c r="B25" t="s">
        <v>89</v>
      </c>
      <c r="C25" t="s">
        <v>61</v>
      </c>
      <c r="D25">
        <v>2</v>
      </c>
      <c r="E25" s="52">
        <v>1400</v>
      </c>
      <c r="F25" s="53">
        <v>0.52328799999999998</v>
      </c>
      <c r="G25" s="54">
        <v>8791.2384000000002</v>
      </c>
      <c r="H25" s="52">
        <v>430</v>
      </c>
      <c r="I25" s="53">
        <v>0.52328799999999998</v>
      </c>
      <c r="J25" s="52">
        <v>262</v>
      </c>
      <c r="K25" s="52">
        <v>567</v>
      </c>
      <c r="L25" s="52">
        <f t="shared" si="0"/>
        <v>305</v>
      </c>
      <c r="M25" s="52">
        <f t="shared" si="1"/>
        <v>168</v>
      </c>
      <c r="N25" s="55">
        <f t="shared" si="2"/>
        <v>0.54065573770491804</v>
      </c>
      <c r="O25" s="56">
        <f t="shared" si="3"/>
        <v>0.52328799999999998</v>
      </c>
      <c r="V25" s="54">
        <f t="shared" si="4"/>
        <v>262</v>
      </c>
      <c r="W25" s="52">
        <f t="shared" si="5"/>
        <v>381.25</v>
      </c>
      <c r="X25" s="52">
        <f t="shared" si="6"/>
        <v>223.875</v>
      </c>
      <c r="Y25" s="55">
        <f t="shared" si="7"/>
        <v>-240.87060904725803</v>
      </c>
      <c r="Z25" s="55">
        <f t="shared" si="8"/>
        <v>316.82204005559771</v>
      </c>
      <c r="AA25" s="55">
        <f t="shared" si="9"/>
        <v>316.82204005559771</v>
      </c>
      <c r="AB25" s="52">
        <f t="shared" si="10"/>
        <v>0.24379551489992843</v>
      </c>
      <c r="AC25" s="52">
        <f t="shared" si="11"/>
        <v>0.65766022950819669</v>
      </c>
      <c r="AD25" s="52">
        <f t="shared" si="12"/>
        <v>208.36125557621946</v>
      </c>
      <c r="AE25" s="62">
        <f t="shared" si="13"/>
        <v>145.85287890335363</v>
      </c>
    </row>
    <row r="26" spans="1:31" x14ac:dyDescent="0.3">
      <c r="A26" t="s">
        <v>91</v>
      </c>
      <c r="B26" t="s">
        <v>89</v>
      </c>
      <c r="C26" t="s">
        <v>70</v>
      </c>
      <c r="D26">
        <v>1</v>
      </c>
      <c r="E26" s="52">
        <v>1500</v>
      </c>
      <c r="F26" s="53">
        <v>0.44931500000000002</v>
      </c>
      <c r="G26" s="54">
        <v>8087.67</v>
      </c>
      <c r="H26" s="52">
        <v>662</v>
      </c>
      <c r="I26" s="53">
        <v>0.44931500000000002</v>
      </c>
      <c r="J26" s="52">
        <v>229</v>
      </c>
      <c r="K26" s="52">
        <v>859</v>
      </c>
      <c r="L26" s="52">
        <f t="shared" si="0"/>
        <v>630</v>
      </c>
      <c r="M26" s="52">
        <f t="shared" si="1"/>
        <v>433</v>
      </c>
      <c r="N26" s="55">
        <f t="shared" si="2"/>
        <v>0.64984126984126989</v>
      </c>
      <c r="O26" s="56">
        <f t="shared" si="3"/>
        <v>0.44931500000000002</v>
      </c>
      <c r="V26" s="54">
        <f t="shared" si="4"/>
        <v>229</v>
      </c>
      <c r="W26" s="52">
        <f t="shared" si="5"/>
        <v>787.5</v>
      </c>
      <c r="X26" s="52">
        <f t="shared" si="6"/>
        <v>150.25</v>
      </c>
      <c r="Y26" s="55">
        <f t="shared" si="7"/>
        <v>-497.53601213040184</v>
      </c>
      <c r="Z26" s="55">
        <f t="shared" si="8"/>
        <v>498.32913191811986</v>
      </c>
      <c r="AA26" s="55">
        <f t="shared" si="9"/>
        <v>498.32913191811986</v>
      </c>
      <c r="AB26" s="52">
        <f t="shared" si="10"/>
        <v>0.44200524688015219</v>
      </c>
      <c r="AC26" s="52">
        <f t="shared" si="11"/>
        <v>0.50079704761904753</v>
      </c>
      <c r="AD26" s="52">
        <f t="shared" si="12"/>
        <v>249.56175800715729</v>
      </c>
      <c r="AE26" s="62">
        <f t="shared" si="13"/>
        <v>174.69323060501009</v>
      </c>
    </row>
    <row r="27" spans="1:31" x14ac:dyDescent="0.3">
      <c r="A27" t="s">
        <v>92</v>
      </c>
      <c r="B27" t="s">
        <v>63</v>
      </c>
      <c r="C27" t="s">
        <v>70</v>
      </c>
      <c r="D27">
        <v>2</v>
      </c>
      <c r="E27" s="52">
        <v>1300</v>
      </c>
      <c r="F27" s="53">
        <v>0.66027400000000003</v>
      </c>
      <c r="G27" s="54">
        <v>10300.2744</v>
      </c>
      <c r="H27" s="52">
        <v>186</v>
      </c>
      <c r="I27" s="53">
        <v>0.66027400000000003</v>
      </c>
      <c r="J27" s="52">
        <v>136</v>
      </c>
      <c r="K27" s="52">
        <v>336</v>
      </c>
      <c r="L27" s="52">
        <f t="shared" si="0"/>
        <v>200</v>
      </c>
      <c r="M27" s="52">
        <f t="shared" si="1"/>
        <v>50</v>
      </c>
      <c r="N27" s="55">
        <f t="shared" si="2"/>
        <v>0.30000000000000004</v>
      </c>
      <c r="O27" s="56">
        <f t="shared" si="3"/>
        <v>0.66027400000000003</v>
      </c>
      <c r="V27" s="54">
        <f t="shared" si="4"/>
        <v>136</v>
      </c>
      <c r="W27" s="52">
        <f t="shared" si="5"/>
        <v>250</v>
      </c>
      <c r="X27" s="52">
        <f t="shared" si="6"/>
        <v>111</v>
      </c>
      <c r="Y27" s="55">
        <f t="shared" si="7"/>
        <v>-157.94794035885772</v>
      </c>
      <c r="Z27" s="55">
        <f t="shared" si="8"/>
        <v>189.8505180692444</v>
      </c>
      <c r="AA27" s="55">
        <f t="shared" si="9"/>
        <v>189.8505180692444</v>
      </c>
      <c r="AB27" s="52">
        <f t="shared" si="10"/>
        <v>0.31540207227697759</v>
      </c>
      <c r="AC27" s="52">
        <f t="shared" si="11"/>
        <v>0.60099079999999994</v>
      </c>
      <c r="AD27" s="52">
        <f t="shared" si="12"/>
        <v>114.09841473484964</v>
      </c>
      <c r="AE27" s="62">
        <f t="shared" si="13"/>
        <v>79.868890314394747</v>
      </c>
    </row>
    <row r="28" spans="1:31" x14ac:dyDescent="0.3">
      <c r="A28" t="s">
        <v>93</v>
      </c>
      <c r="B28" t="s">
        <v>89</v>
      </c>
      <c r="C28" t="s">
        <v>70</v>
      </c>
      <c r="D28">
        <v>2</v>
      </c>
      <c r="E28" s="52">
        <v>1600</v>
      </c>
      <c r="F28" s="53">
        <v>0.48767099999999997</v>
      </c>
      <c r="G28" s="54">
        <v>9363.2831999999999</v>
      </c>
      <c r="H28" s="52">
        <v>696</v>
      </c>
      <c r="I28" s="53">
        <v>0.48767099999999997</v>
      </c>
      <c r="J28" s="52">
        <v>449</v>
      </c>
      <c r="K28" s="52">
        <v>899</v>
      </c>
      <c r="L28" s="52">
        <f t="shared" si="0"/>
        <v>450</v>
      </c>
      <c r="M28" s="52">
        <f t="shared" si="1"/>
        <v>247</v>
      </c>
      <c r="N28" s="55">
        <f t="shared" si="2"/>
        <v>0.53911111111111121</v>
      </c>
      <c r="O28" s="56">
        <f t="shared" si="3"/>
        <v>0.48767099999999997</v>
      </c>
      <c r="V28" s="54">
        <f t="shared" si="4"/>
        <v>449</v>
      </c>
      <c r="W28" s="52">
        <f t="shared" si="5"/>
        <v>562.5</v>
      </c>
      <c r="X28" s="52">
        <f t="shared" si="6"/>
        <v>392.75</v>
      </c>
      <c r="Y28" s="55">
        <f t="shared" si="7"/>
        <v>-355.38286580742988</v>
      </c>
      <c r="Z28" s="55">
        <f t="shared" si="8"/>
        <v>498.66366565579983</v>
      </c>
      <c r="AA28" s="55">
        <f t="shared" si="9"/>
        <v>498.66366565579983</v>
      </c>
      <c r="AB28" s="52">
        <f t="shared" si="10"/>
        <v>0.18829096116586636</v>
      </c>
      <c r="AC28" s="52">
        <f t="shared" si="11"/>
        <v>0.70158653333333343</v>
      </c>
      <c r="AD28" s="52">
        <f t="shared" si="12"/>
        <v>349.85571248674506</v>
      </c>
      <c r="AE28" s="62">
        <f t="shared" si="13"/>
        <v>244.89899874072154</v>
      </c>
    </row>
    <row r="29" spans="1:31" x14ac:dyDescent="0.3">
      <c r="A29" t="s">
        <v>94</v>
      </c>
      <c r="B29" t="s">
        <v>95</v>
      </c>
      <c r="C29" t="s">
        <v>61</v>
      </c>
      <c r="D29">
        <v>1</v>
      </c>
      <c r="E29" s="52">
        <v>600</v>
      </c>
      <c r="F29" s="53">
        <v>0.43835599999999997</v>
      </c>
      <c r="G29" s="54">
        <v>3156.1632</v>
      </c>
      <c r="H29" s="52">
        <v>182</v>
      </c>
      <c r="I29" s="53">
        <v>0.43835599999999997</v>
      </c>
      <c r="J29" s="52">
        <v>132</v>
      </c>
      <c r="K29" s="52">
        <v>226</v>
      </c>
      <c r="L29" s="52">
        <f t="shared" si="0"/>
        <v>94</v>
      </c>
      <c r="M29" s="52">
        <f t="shared" si="1"/>
        <v>50</v>
      </c>
      <c r="N29" s="55">
        <f t="shared" si="2"/>
        <v>0.52553191489361706</v>
      </c>
      <c r="O29" s="56">
        <f t="shared" si="3"/>
        <v>0.43835599999999997</v>
      </c>
      <c r="V29" s="54">
        <f t="shared" si="4"/>
        <v>132</v>
      </c>
      <c r="W29" s="52">
        <f t="shared" si="5"/>
        <v>117.5</v>
      </c>
      <c r="X29" s="52">
        <f t="shared" si="6"/>
        <v>120.25</v>
      </c>
      <c r="Y29" s="55">
        <f t="shared" si="7"/>
        <v>-74.235531968663125</v>
      </c>
      <c r="Z29" s="55">
        <f t="shared" si="8"/>
        <v>123.26974349254485</v>
      </c>
      <c r="AA29" s="55">
        <f t="shared" si="9"/>
        <v>132</v>
      </c>
      <c r="AB29" s="52">
        <f t="shared" si="10"/>
        <v>0.1</v>
      </c>
      <c r="AC29" s="52">
        <f t="shared" si="11"/>
        <v>0.77146000000000003</v>
      </c>
      <c r="AD29" s="52">
        <f t="shared" si="12"/>
        <v>101.83272000000001</v>
      </c>
      <c r="AE29" s="62">
        <f t="shared" si="13"/>
        <v>71.282904000000002</v>
      </c>
    </row>
    <row r="30" spans="1:31" x14ac:dyDescent="0.3">
      <c r="A30" t="s">
        <v>96</v>
      </c>
      <c r="B30" t="s">
        <v>95</v>
      </c>
      <c r="C30" t="s">
        <v>61</v>
      </c>
      <c r="D30">
        <v>2</v>
      </c>
      <c r="E30" s="52">
        <v>800</v>
      </c>
      <c r="F30" s="53">
        <v>0.53150699999999995</v>
      </c>
      <c r="G30" s="54">
        <v>5102.4671999999991</v>
      </c>
      <c r="H30" s="52">
        <v>241</v>
      </c>
      <c r="I30" s="53">
        <v>0.53150699999999995</v>
      </c>
      <c r="J30" s="52">
        <v>157</v>
      </c>
      <c r="K30" s="52">
        <v>340</v>
      </c>
      <c r="L30" s="52">
        <f t="shared" si="0"/>
        <v>183</v>
      </c>
      <c r="M30" s="52">
        <f t="shared" si="1"/>
        <v>84</v>
      </c>
      <c r="N30" s="55">
        <f t="shared" si="2"/>
        <v>0.46721311475409844</v>
      </c>
      <c r="O30" s="56">
        <f t="shared" si="3"/>
        <v>0.53150699999999995</v>
      </c>
      <c r="V30" s="54">
        <f t="shared" si="4"/>
        <v>157</v>
      </c>
      <c r="W30" s="52">
        <f t="shared" si="5"/>
        <v>228.75</v>
      </c>
      <c r="X30" s="52">
        <f t="shared" si="6"/>
        <v>134.125</v>
      </c>
      <c r="Y30" s="55">
        <f t="shared" si="7"/>
        <v>-144.52236542835482</v>
      </c>
      <c r="Z30" s="55">
        <f t="shared" si="8"/>
        <v>189.99322403335862</v>
      </c>
      <c r="AA30" s="55">
        <f t="shared" si="9"/>
        <v>189.99322403335862</v>
      </c>
      <c r="AB30" s="52">
        <f t="shared" si="10"/>
        <v>0.24423267336987373</v>
      </c>
      <c r="AC30" s="52">
        <f t="shared" si="11"/>
        <v>0.65731426229508194</v>
      </c>
      <c r="AD30" s="52">
        <f t="shared" si="12"/>
        <v>124.88525589655136</v>
      </c>
      <c r="AE30" s="62">
        <f t="shared" si="13"/>
        <v>87.419679127585951</v>
      </c>
    </row>
    <row r="31" spans="1:31" x14ac:dyDescent="0.3">
      <c r="A31" t="s">
        <v>97</v>
      </c>
      <c r="B31" t="s">
        <v>95</v>
      </c>
      <c r="C31" t="s">
        <v>70</v>
      </c>
      <c r="D31">
        <v>1</v>
      </c>
      <c r="E31" s="52">
        <v>700</v>
      </c>
      <c r="F31" s="53">
        <v>0.13972599999999999</v>
      </c>
      <c r="G31" s="54">
        <v>1173.6984</v>
      </c>
      <c r="H31" s="52">
        <v>363</v>
      </c>
      <c r="I31" s="53">
        <v>0.13972599999999999</v>
      </c>
      <c r="J31" s="52">
        <v>215</v>
      </c>
      <c r="K31" s="52">
        <v>377</v>
      </c>
      <c r="L31" s="52">
        <f t="shared" si="0"/>
        <v>162</v>
      </c>
      <c r="M31" s="52">
        <f t="shared" si="1"/>
        <v>148</v>
      </c>
      <c r="N31" s="55">
        <f t="shared" si="2"/>
        <v>0.83086419753086416</v>
      </c>
      <c r="O31" s="56">
        <f t="shared" si="3"/>
        <v>0.13972599999999999</v>
      </c>
      <c r="V31" s="54">
        <f t="shared" si="4"/>
        <v>215</v>
      </c>
      <c r="W31" s="52">
        <f t="shared" si="5"/>
        <v>202.5</v>
      </c>
      <c r="X31" s="52">
        <f t="shared" si="6"/>
        <v>194.75</v>
      </c>
      <c r="Y31" s="55">
        <f t="shared" si="7"/>
        <v>-127.93783169067476</v>
      </c>
      <c r="Z31" s="55">
        <f t="shared" si="8"/>
        <v>206.19891963608794</v>
      </c>
      <c r="AA31" s="55">
        <f t="shared" si="9"/>
        <v>215</v>
      </c>
      <c r="AB31" s="52">
        <f t="shared" si="10"/>
        <v>0.1</v>
      </c>
      <c r="AC31" s="52">
        <f t="shared" si="11"/>
        <v>0.77146000000000003</v>
      </c>
      <c r="AD31" s="52">
        <f t="shared" si="12"/>
        <v>165.8639</v>
      </c>
      <c r="AE31" s="62">
        <f t="shared" si="13"/>
        <v>116.10472999999999</v>
      </c>
    </row>
    <row r="32" spans="1:31" x14ac:dyDescent="0.3">
      <c r="A32" t="s">
        <v>98</v>
      </c>
      <c r="B32" t="s">
        <v>95</v>
      </c>
      <c r="C32" t="s">
        <v>70</v>
      </c>
      <c r="D32">
        <v>2</v>
      </c>
      <c r="E32" s="52">
        <v>1000</v>
      </c>
      <c r="F32" s="53">
        <v>0.46849299999999999</v>
      </c>
      <c r="G32" s="54">
        <v>5621.9160000000002</v>
      </c>
      <c r="H32" s="52">
        <v>301</v>
      </c>
      <c r="I32" s="53">
        <v>0.46849299999999999</v>
      </c>
      <c r="J32" s="52">
        <v>202</v>
      </c>
      <c r="K32" s="52">
        <v>374</v>
      </c>
      <c r="L32" s="52">
        <f t="shared" si="0"/>
        <v>172</v>
      </c>
      <c r="M32" s="52">
        <f t="shared" si="1"/>
        <v>99</v>
      </c>
      <c r="N32" s="55">
        <f t="shared" si="2"/>
        <v>0.56046511627906981</v>
      </c>
      <c r="O32" s="56">
        <f t="shared" si="3"/>
        <v>0.46849299999999999</v>
      </c>
      <c r="V32" s="54">
        <f t="shared" si="4"/>
        <v>202</v>
      </c>
      <c r="W32" s="52">
        <f t="shared" si="5"/>
        <v>215</v>
      </c>
      <c r="X32" s="52">
        <f t="shared" si="6"/>
        <v>180.5</v>
      </c>
      <c r="Y32" s="55">
        <f t="shared" si="7"/>
        <v>-135.83522870861765</v>
      </c>
      <c r="Z32" s="55">
        <f t="shared" si="8"/>
        <v>205.79144553955018</v>
      </c>
      <c r="AA32" s="55">
        <f t="shared" si="9"/>
        <v>205.79144553955018</v>
      </c>
      <c r="AB32" s="52">
        <f t="shared" si="10"/>
        <v>0.11763463041651247</v>
      </c>
      <c r="AC32" s="52">
        <f t="shared" si="11"/>
        <v>0.75750395348837207</v>
      </c>
      <c r="AD32" s="52">
        <f t="shared" si="12"/>
        <v>155.88783359029628</v>
      </c>
      <c r="AE32" s="62">
        <f t="shared" si="13"/>
        <v>109.12148351320739</v>
      </c>
    </row>
    <row r="33" spans="1:31" x14ac:dyDescent="0.3">
      <c r="A33" t="s">
        <v>99</v>
      </c>
      <c r="B33" t="s">
        <v>100</v>
      </c>
      <c r="C33" t="s">
        <v>61</v>
      </c>
      <c r="D33">
        <v>1</v>
      </c>
      <c r="E33" s="52">
        <v>700</v>
      </c>
      <c r="F33" s="53">
        <v>0.50136999999999998</v>
      </c>
      <c r="G33" s="54">
        <v>4211.5079999999998</v>
      </c>
      <c r="H33" s="52">
        <v>212</v>
      </c>
      <c r="I33" s="53">
        <v>0.50136999999999998</v>
      </c>
      <c r="J33" s="52">
        <v>94</v>
      </c>
      <c r="K33" s="52">
        <v>356</v>
      </c>
      <c r="L33" s="52">
        <f t="shared" si="0"/>
        <v>262</v>
      </c>
      <c r="M33" s="52">
        <f t="shared" si="1"/>
        <v>118</v>
      </c>
      <c r="N33" s="55">
        <f t="shared" si="2"/>
        <v>0.46030534351145036</v>
      </c>
      <c r="O33" s="56">
        <f t="shared" si="3"/>
        <v>0.50136999999999998</v>
      </c>
      <c r="V33" s="54">
        <f t="shared" si="4"/>
        <v>94</v>
      </c>
      <c r="W33" s="52">
        <f t="shared" si="5"/>
        <v>327.5</v>
      </c>
      <c r="X33" s="52">
        <f t="shared" si="6"/>
        <v>61.25</v>
      </c>
      <c r="Y33" s="55">
        <f t="shared" si="7"/>
        <v>-206.9118018701036</v>
      </c>
      <c r="Z33" s="55">
        <f t="shared" si="8"/>
        <v>206.62417867071014</v>
      </c>
      <c r="AA33" s="55">
        <f t="shared" si="9"/>
        <v>206.62417867071014</v>
      </c>
      <c r="AB33" s="52">
        <f t="shared" si="10"/>
        <v>0.44389062189529815</v>
      </c>
      <c r="AC33" s="52">
        <f t="shared" si="11"/>
        <v>0.49930496183206108</v>
      </c>
      <c r="AD33" s="52">
        <f t="shared" si="12"/>
        <v>103.16847764475989</v>
      </c>
      <c r="AE33" s="62">
        <f t="shared" si="13"/>
        <v>72.21793435133192</v>
      </c>
    </row>
    <row r="34" spans="1:31" x14ac:dyDescent="0.3">
      <c r="A34" t="s">
        <v>101</v>
      </c>
      <c r="B34" t="s">
        <v>100</v>
      </c>
      <c r="C34" t="s">
        <v>61</v>
      </c>
      <c r="D34">
        <v>2</v>
      </c>
      <c r="E34" s="52">
        <v>900</v>
      </c>
      <c r="F34" s="53">
        <v>0.30684899999999998</v>
      </c>
      <c r="G34" s="54">
        <v>3313.9692</v>
      </c>
      <c r="H34" s="52">
        <v>340</v>
      </c>
      <c r="I34" s="53">
        <v>0.30684899999999998</v>
      </c>
      <c r="J34" s="52">
        <v>69</v>
      </c>
      <c r="K34" s="52">
        <v>485</v>
      </c>
      <c r="L34" s="52">
        <f t="shared" si="0"/>
        <v>416</v>
      </c>
      <c r="M34" s="52">
        <f t="shared" si="1"/>
        <v>271</v>
      </c>
      <c r="N34" s="55">
        <f t="shared" si="2"/>
        <v>0.62115384615384617</v>
      </c>
      <c r="O34" s="56">
        <f t="shared" si="3"/>
        <v>0.30684899999999998</v>
      </c>
      <c r="V34" s="54">
        <f t="shared" si="4"/>
        <v>69</v>
      </c>
      <c r="W34" s="52">
        <f t="shared" si="5"/>
        <v>520</v>
      </c>
      <c r="X34" s="52">
        <f t="shared" si="6"/>
        <v>17</v>
      </c>
      <c r="Y34" s="55">
        <f t="shared" si="7"/>
        <v>-328.53171594642407</v>
      </c>
      <c r="Z34" s="55">
        <f t="shared" si="8"/>
        <v>287.94907758402832</v>
      </c>
      <c r="AA34" s="55">
        <f t="shared" si="9"/>
        <v>287.94907758402832</v>
      </c>
      <c r="AB34" s="52">
        <f t="shared" si="10"/>
        <v>0.52105591843082366</v>
      </c>
      <c r="AC34" s="52">
        <f t="shared" si="11"/>
        <v>0.43823634615384616</v>
      </c>
      <c r="AD34" s="52">
        <f t="shared" si="12"/>
        <v>126.18975163879493</v>
      </c>
      <c r="AE34" s="62">
        <f t="shared" si="13"/>
        <v>88.332826147156453</v>
      </c>
    </row>
    <row r="35" spans="1:31" x14ac:dyDescent="0.3">
      <c r="A35" t="s">
        <v>102</v>
      </c>
      <c r="B35" t="s">
        <v>100</v>
      </c>
      <c r="C35" t="s">
        <v>70</v>
      </c>
      <c r="D35">
        <v>1</v>
      </c>
      <c r="E35" s="52">
        <v>1000</v>
      </c>
      <c r="F35" s="53">
        <v>0.52054800000000001</v>
      </c>
      <c r="G35" s="54">
        <v>6246.576</v>
      </c>
      <c r="H35" s="52">
        <v>266</v>
      </c>
      <c r="I35" s="53">
        <v>0.52054800000000001</v>
      </c>
      <c r="J35" s="52">
        <v>84</v>
      </c>
      <c r="K35" s="52">
        <v>376</v>
      </c>
      <c r="L35" s="52">
        <f t="shared" si="0"/>
        <v>292</v>
      </c>
      <c r="M35" s="52">
        <f t="shared" si="1"/>
        <v>182</v>
      </c>
      <c r="N35" s="55">
        <f t="shared" si="2"/>
        <v>0.59863013698630141</v>
      </c>
      <c r="O35" s="56">
        <f t="shared" si="3"/>
        <v>0.52054800000000001</v>
      </c>
      <c r="V35" s="54">
        <f t="shared" si="4"/>
        <v>84</v>
      </c>
      <c r="W35" s="52">
        <f t="shared" si="5"/>
        <v>365</v>
      </c>
      <c r="X35" s="52">
        <f t="shared" si="6"/>
        <v>47.5</v>
      </c>
      <c r="Y35" s="55">
        <f t="shared" si="7"/>
        <v>-230.60399292393228</v>
      </c>
      <c r="Z35" s="55">
        <f t="shared" si="8"/>
        <v>219.90175638109682</v>
      </c>
      <c r="AA35" s="55">
        <f t="shared" si="9"/>
        <v>219.90175638109682</v>
      </c>
      <c r="AB35" s="52">
        <f t="shared" si="10"/>
        <v>0.47233357912629265</v>
      </c>
      <c r="AC35" s="52">
        <f t="shared" si="11"/>
        <v>0.47679520547945203</v>
      </c>
      <c r="AD35" s="52">
        <f t="shared" si="12"/>
        <v>104.84810311901747</v>
      </c>
      <c r="AE35" s="62">
        <f t="shared" si="13"/>
        <v>73.393672183312219</v>
      </c>
    </row>
    <row r="36" spans="1:31" x14ac:dyDescent="0.3">
      <c r="A36" t="s">
        <v>103</v>
      </c>
      <c r="B36" t="s">
        <v>100</v>
      </c>
      <c r="C36" t="s">
        <v>70</v>
      </c>
      <c r="D36">
        <v>2</v>
      </c>
      <c r="E36" s="52">
        <v>1200</v>
      </c>
      <c r="F36" s="53">
        <v>0.12876699999999999</v>
      </c>
      <c r="G36" s="54">
        <v>1854.2447999999999</v>
      </c>
      <c r="H36" s="52">
        <v>442</v>
      </c>
      <c r="I36" s="53">
        <v>0.12876699999999999</v>
      </c>
      <c r="J36" s="52">
        <v>109</v>
      </c>
      <c r="K36" s="52">
        <v>490</v>
      </c>
      <c r="L36" s="52">
        <f t="shared" si="0"/>
        <v>381</v>
      </c>
      <c r="M36" s="52">
        <f t="shared" si="1"/>
        <v>333</v>
      </c>
      <c r="N36" s="55">
        <f t="shared" si="2"/>
        <v>0.79921259842519687</v>
      </c>
      <c r="O36" s="56">
        <f t="shared" si="3"/>
        <v>0.12876699999999999</v>
      </c>
      <c r="V36" s="54">
        <f t="shared" si="4"/>
        <v>109</v>
      </c>
      <c r="W36" s="52">
        <f t="shared" si="5"/>
        <v>476.25</v>
      </c>
      <c r="X36" s="52">
        <f t="shared" si="6"/>
        <v>61.375</v>
      </c>
      <c r="Y36" s="55">
        <f t="shared" si="7"/>
        <v>-300.89082638362396</v>
      </c>
      <c r="Z36" s="55">
        <f t="shared" si="8"/>
        <v>286.62523692191053</v>
      </c>
      <c r="AA36" s="55">
        <f t="shared" si="9"/>
        <v>286.62523692191053</v>
      </c>
      <c r="AB36" s="52">
        <f t="shared" si="10"/>
        <v>0.47296637673891972</v>
      </c>
      <c r="AC36" s="52">
        <f t="shared" si="11"/>
        <v>0.47629440944881896</v>
      </c>
      <c r="AD36" s="52">
        <f t="shared" si="12"/>
        <v>136.51799795284919</v>
      </c>
      <c r="AE36" s="62">
        <f t="shared" si="13"/>
        <v>95.562598566994424</v>
      </c>
    </row>
    <row r="37" spans="1:31" x14ac:dyDescent="0.3">
      <c r="A37" t="s">
        <v>104</v>
      </c>
      <c r="B37" t="s">
        <v>105</v>
      </c>
      <c r="C37" t="s">
        <v>61</v>
      </c>
      <c r="D37">
        <v>1</v>
      </c>
      <c r="E37" s="52">
        <v>1200</v>
      </c>
      <c r="F37" s="53">
        <v>0.241096</v>
      </c>
      <c r="G37" s="54">
        <v>3471.7824000000001</v>
      </c>
      <c r="H37" s="52">
        <v>354</v>
      </c>
      <c r="I37" s="53">
        <v>0.241096</v>
      </c>
      <c r="J37" s="52">
        <v>145</v>
      </c>
      <c r="K37" s="52">
        <v>434</v>
      </c>
      <c r="L37" s="52">
        <f t="shared" si="0"/>
        <v>289</v>
      </c>
      <c r="M37" s="52">
        <f t="shared" si="1"/>
        <v>209</v>
      </c>
      <c r="N37" s="55">
        <f t="shared" si="2"/>
        <v>0.67854671280276824</v>
      </c>
      <c r="O37" s="56">
        <f t="shared" si="3"/>
        <v>0.241096</v>
      </c>
      <c r="V37" s="54">
        <f t="shared" si="4"/>
        <v>145</v>
      </c>
      <c r="W37" s="52">
        <f t="shared" si="5"/>
        <v>361.25</v>
      </c>
      <c r="X37" s="52">
        <f t="shared" si="6"/>
        <v>108.875</v>
      </c>
      <c r="Y37" s="55">
        <f t="shared" si="7"/>
        <v>-228.2347738185494</v>
      </c>
      <c r="Z37" s="55">
        <f t="shared" si="8"/>
        <v>248.57399861005814</v>
      </c>
      <c r="AA37" s="55">
        <f t="shared" si="9"/>
        <v>248.57399861005814</v>
      </c>
      <c r="AB37" s="52">
        <f t="shared" si="10"/>
        <v>0.38671003075448618</v>
      </c>
      <c r="AC37" s="52">
        <f t="shared" si="11"/>
        <v>0.54455768166089968</v>
      </c>
      <c r="AD37" s="52">
        <f t="shared" si="12"/>
        <v>135.36288040427297</v>
      </c>
      <c r="AE37" s="62">
        <f t="shared" si="13"/>
        <v>94.754016282991074</v>
      </c>
    </row>
    <row r="38" spans="1:31" x14ac:dyDescent="0.3">
      <c r="A38" t="s">
        <v>106</v>
      </c>
      <c r="B38" t="s">
        <v>107</v>
      </c>
      <c r="C38" t="s">
        <v>61</v>
      </c>
      <c r="D38">
        <v>2</v>
      </c>
      <c r="E38" s="52">
        <v>920</v>
      </c>
      <c r="F38" s="53">
        <v>0.45205499999999998</v>
      </c>
      <c r="G38" s="54">
        <v>4990.6871999999994</v>
      </c>
      <c r="H38" s="52">
        <v>123</v>
      </c>
      <c r="I38" s="53">
        <v>0.45205499999999998</v>
      </c>
      <c r="J38" s="52">
        <v>111</v>
      </c>
      <c r="K38" s="52">
        <v>147</v>
      </c>
      <c r="L38" s="52">
        <f t="shared" si="0"/>
        <v>36</v>
      </c>
      <c r="M38" s="52">
        <f t="shared" si="1"/>
        <v>12</v>
      </c>
      <c r="N38" s="55">
        <f t="shared" si="2"/>
        <v>0.3666666666666667</v>
      </c>
      <c r="O38" s="56">
        <f t="shared" si="3"/>
        <v>0.45205499999999998</v>
      </c>
      <c r="V38" s="54">
        <f t="shared" si="4"/>
        <v>111</v>
      </c>
      <c r="W38" s="52">
        <f t="shared" si="5"/>
        <v>45</v>
      </c>
      <c r="X38" s="52">
        <f t="shared" si="6"/>
        <v>106.5</v>
      </c>
      <c r="Y38" s="55">
        <f t="shared" si="7"/>
        <v>-28.430629264594391</v>
      </c>
      <c r="Z38" s="55">
        <f t="shared" si="8"/>
        <v>77.433093252463991</v>
      </c>
      <c r="AA38" s="55">
        <f t="shared" si="9"/>
        <v>111</v>
      </c>
      <c r="AB38" s="52">
        <f t="shared" si="10"/>
        <v>0.1</v>
      </c>
      <c r="AC38" s="52">
        <f t="shared" si="11"/>
        <v>0.77146000000000003</v>
      </c>
      <c r="AD38" s="52">
        <f t="shared" si="12"/>
        <v>85.63206000000001</v>
      </c>
      <c r="AE38" s="62">
        <f t="shared" si="13"/>
        <v>59.942442</v>
      </c>
    </row>
    <row r="39" spans="1:31" x14ac:dyDescent="0.3">
      <c r="A39" t="s">
        <v>108</v>
      </c>
      <c r="B39" t="s">
        <v>105</v>
      </c>
      <c r="C39" t="s">
        <v>61</v>
      </c>
      <c r="D39">
        <v>2</v>
      </c>
      <c r="E39" s="52">
        <v>1300</v>
      </c>
      <c r="F39" s="53">
        <v>0.47945199999999999</v>
      </c>
      <c r="G39" s="54">
        <v>7479.4511999999995</v>
      </c>
      <c r="H39" s="52">
        <v>377</v>
      </c>
      <c r="I39" s="53">
        <v>0.47945199999999999</v>
      </c>
      <c r="J39" s="52">
        <v>228</v>
      </c>
      <c r="K39" s="52">
        <v>457</v>
      </c>
      <c r="L39" s="52">
        <f t="shared" si="0"/>
        <v>229</v>
      </c>
      <c r="M39" s="52">
        <f t="shared" si="1"/>
        <v>149</v>
      </c>
      <c r="N39" s="55">
        <f t="shared" si="2"/>
        <v>0.62052401746724895</v>
      </c>
      <c r="O39" s="56">
        <f t="shared" si="3"/>
        <v>0.47945199999999999</v>
      </c>
      <c r="V39" s="54">
        <f t="shared" si="4"/>
        <v>228</v>
      </c>
      <c r="W39" s="52">
        <f t="shared" si="5"/>
        <v>286.25</v>
      </c>
      <c r="X39" s="52">
        <f t="shared" si="6"/>
        <v>199.375</v>
      </c>
      <c r="Y39" s="55">
        <f t="shared" si="7"/>
        <v>-180.8503917108921</v>
      </c>
      <c r="Z39" s="55">
        <f t="shared" si="8"/>
        <v>253.51884318928481</v>
      </c>
      <c r="AA39" s="55">
        <f t="shared" si="9"/>
        <v>253.51884318928481</v>
      </c>
      <c r="AB39" s="52">
        <f t="shared" si="10"/>
        <v>0.18914879716780719</v>
      </c>
      <c r="AC39" s="52">
        <f t="shared" si="11"/>
        <v>0.70090764192139743</v>
      </c>
      <c r="AD39" s="52">
        <f t="shared" si="12"/>
        <v>177.69329456244213</v>
      </c>
      <c r="AE39" s="62">
        <f t="shared" si="13"/>
        <v>124.38530619370948</v>
      </c>
    </row>
    <row r="40" spans="1:31" x14ac:dyDescent="0.3">
      <c r="A40" t="s">
        <v>109</v>
      </c>
      <c r="B40" t="s">
        <v>105</v>
      </c>
      <c r="C40" t="s">
        <v>70</v>
      </c>
      <c r="D40">
        <v>1</v>
      </c>
      <c r="E40" s="52">
        <v>1100</v>
      </c>
      <c r="F40" s="53">
        <v>0.271233</v>
      </c>
      <c r="G40" s="54">
        <v>3580.2755999999999</v>
      </c>
      <c r="H40" s="52">
        <v>318</v>
      </c>
      <c r="I40" s="53">
        <v>0.271233</v>
      </c>
      <c r="J40" s="52">
        <v>90</v>
      </c>
      <c r="K40" s="52">
        <v>375</v>
      </c>
      <c r="L40" s="52">
        <f t="shared" si="0"/>
        <v>285</v>
      </c>
      <c r="M40" s="52">
        <f t="shared" si="1"/>
        <v>228</v>
      </c>
      <c r="N40" s="55">
        <f t="shared" si="2"/>
        <v>0.74</v>
      </c>
      <c r="O40" s="56">
        <f t="shared" si="3"/>
        <v>0.271233</v>
      </c>
      <c r="V40" s="54">
        <f t="shared" si="4"/>
        <v>90</v>
      </c>
      <c r="W40" s="52">
        <f t="shared" si="5"/>
        <v>356.25</v>
      </c>
      <c r="X40" s="52">
        <f t="shared" si="6"/>
        <v>54.375</v>
      </c>
      <c r="Y40" s="55">
        <f t="shared" si="7"/>
        <v>-225.07581501137224</v>
      </c>
      <c r="Z40" s="55">
        <f t="shared" si="8"/>
        <v>218.63698824867325</v>
      </c>
      <c r="AA40" s="55">
        <f t="shared" si="9"/>
        <v>218.63698824867325</v>
      </c>
      <c r="AB40" s="52">
        <f t="shared" si="10"/>
        <v>0.46108628280329333</v>
      </c>
      <c r="AC40" s="52">
        <f t="shared" si="11"/>
        <v>0.4856963157894737</v>
      </c>
      <c r="AD40" s="52">
        <f t="shared" si="12"/>
        <v>106.19117968768705</v>
      </c>
      <c r="AE40" s="62">
        <f t="shared" si="13"/>
        <v>74.333825781380938</v>
      </c>
    </row>
    <row r="41" spans="1:31" x14ac:dyDescent="0.3">
      <c r="A41" t="s">
        <v>110</v>
      </c>
      <c r="B41" t="s">
        <v>105</v>
      </c>
      <c r="C41" t="s">
        <v>70</v>
      </c>
      <c r="D41">
        <v>2</v>
      </c>
      <c r="E41" s="52">
        <v>1200</v>
      </c>
      <c r="F41" s="53">
        <v>0.43013699999999999</v>
      </c>
      <c r="G41" s="54">
        <v>6193.9727999999996</v>
      </c>
      <c r="H41" s="52">
        <v>198</v>
      </c>
      <c r="I41" s="53">
        <v>0.43013699999999999</v>
      </c>
      <c r="J41" s="52">
        <v>128</v>
      </c>
      <c r="K41" s="52">
        <v>238</v>
      </c>
      <c r="L41" s="52">
        <f t="shared" si="0"/>
        <v>110</v>
      </c>
      <c r="M41" s="52">
        <f t="shared" si="1"/>
        <v>70</v>
      </c>
      <c r="N41" s="55">
        <f t="shared" si="2"/>
        <v>0.60909090909090902</v>
      </c>
      <c r="O41" s="56">
        <f t="shared" si="3"/>
        <v>0.43013699999999999</v>
      </c>
      <c r="V41" s="54">
        <f t="shared" si="4"/>
        <v>128</v>
      </c>
      <c r="W41" s="52">
        <f t="shared" si="5"/>
        <v>137.5</v>
      </c>
      <c r="X41" s="52">
        <f t="shared" si="6"/>
        <v>114.25</v>
      </c>
      <c r="Y41" s="55">
        <f t="shared" si="7"/>
        <v>-86.871367197371754</v>
      </c>
      <c r="Z41" s="55">
        <f t="shared" si="8"/>
        <v>131.01778493808442</v>
      </c>
      <c r="AA41" s="55">
        <f t="shared" si="9"/>
        <v>131.01778493808442</v>
      </c>
      <c r="AB41" s="52">
        <f t="shared" si="10"/>
        <v>0.12194752682243214</v>
      </c>
      <c r="AC41" s="52">
        <f t="shared" si="11"/>
        <v>0.75409072727272719</v>
      </c>
      <c r="AD41" s="52">
        <f t="shared" si="12"/>
        <v>98.799296729621844</v>
      </c>
      <c r="AE41" s="62">
        <f t="shared" si="13"/>
        <v>69.159507710735284</v>
      </c>
    </row>
    <row r="42" spans="1:31" x14ac:dyDescent="0.3">
      <c r="A42" t="s">
        <v>111</v>
      </c>
      <c r="B42" t="s">
        <v>112</v>
      </c>
      <c r="C42" t="s">
        <v>61</v>
      </c>
      <c r="D42">
        <v>1</v>
      </c>
      <c r="E42" s="52">
        <v>1300</v>
      </c>
      <c r="F42" s="53">
        <v>0.56712300000000004</v>
      </c>
      <c r="G42" s="54">
        <v>8847.1188000000002</v>
      </c>
      <c r="H42" s="52">
        <v>149</v>
      </c>
      <c r="I42" s="53">
        <v>0.56712300000000004</v>
      </c>
      <c r="J42" s="52">
        <v>126</v>
      </c>
      <c r="K42" s="52">
        <v>188</v>
      </c>
      <c r="L42" s="52">
        <f t="shared" si="0"/>
        <v>62</v>
      </c>
      <c r="M42" s="52">
        <f t="shared" si="1"/>
        <v>23</v>
      </c>
      <c r="N42" s="55">
        <f t="shared" si="2"/>
        <v>0.39677419354838717</v>
      </c>
      <c r="O42" s="56">
        <f t="shared" si="3"/>
        <v>0.56712300000000004</v>
      </c>
      <c r="V42" s="54">
        <f t="shared" si="4"/>
        <v>126</v>
      </c>
      <c r="W42" s="52">
        <f t="shared" si="5"/>
        <v>77.5</v>
      </c>
      <c r="X42" s="52">
        <f t="shared" si="6"/>
        <v>118.25</v>
      </c>
      <c r="Y42" s="55">
        <f t="shared" si="7"/>
        <v>-48.963861511245895</v>
      </c>
      <c r="Z42" s="55">
        <f t="shared" si="8"/>
        <v>100.77366060146578</v>
      </c>
      <c r="AA42" s="55">
        <f t="shared" si="9"/>
        <v>126</v>
      </c>
      <c r="AB42" s="52">
        <f t="shared" si="10"/>
        <v>0.1</v>
      </c>
      <c r="AC42" s="52">
        <f t="shared" si="11"/>
        <v>0.77146000000000003</v>
      </c>
      <c r="AD42" s="52">
        <f t="shared" si="12"/>
        <v>97.203960000000009</v>
      </c>
      <c r="AE42" s="62">
        <f t="shared" si="13"/>
        <v>68.042771999999999</v>
      </c>
    </row>
    <row r="43" spans="1:31" x14ac:dyDescent="0.3">
      <c r="A43" t="s">
        <v>113</v>
      </c>
      <c r="B43" t="s">
        <v>112</v>
      </c>
      <c r="C43" t="s">
        <v>61</v>
      </c>
      <c r="D43">
        <v>2</v>
      </c>
      <c r="E43" s="52">
        <v>1700</v>
      </c>
      <c r="F43" s="53">
        <v>0.320548</v>
      </c>
      <c r="G43" s="54">
        <v>6539.1791999999996</v>
      </c>
      <c r="H43" s="52">
        <v>210</v>
      </c>
      <c r="I43" s="53">
        <v>0.320548</v>
      </c>
      <c r="J43" s="52">
        <v>152</v>
      </c>
      <c r="K43" s="52">
        <v>247</v>
      </c>
      <c r="L43" s="52">
        <f t="shared" si="0"/>
        <v>95</v>
      </c>
      <c r="M43" s="52">
        <f t="shared" si="1"/>
        <v>58</v>
      </c>
      <c r="N43" s="55">
        <f t="shared" si="2"/>
        <v>0.58842105263157907</v>
      </c>
      <c r="O43" s="56">
        <f t="shared" si="3"/>
        <v>0.320548</v>
      </c>
      <c r="V43" s="54">
        <f t="shared" si="4"/>
        <v>152</v>
      </c>
      <c r="W43" s="52">
        <f t="shared" si="5"/>
        <v>118.75</v>
      </c>
      <c r="X43" s="52">
        <f t="shared" si="6"/>
        <v>140.125</v>
      </c>
      <c r="Y43" s="55">
        <f t="shared" si="7"/>
        <v>-75.025271670457414</v>
      </c>
      <c r="Z43" s="55">
        <f t="shared" si="8"/>
        <v>133.87899608289106</v>
      </c>
      <c r="AA43" s="55">
        <f t="shared" si="9"/>
        <v>152</v>
      </c>
      <c r="AB43" s="52">
        <f t="shared" si="10"/>
        <v>0.1</v>
      </c>
      <c r="AC43" s="52">
        <f t="shared" si="11"/>
        <v>0.77146000000000003</v>
      </c>
      <c r="AD43" s="52">
        <f t="shared" si="12"/>
        <v>117.26192</v>
      </c>
      <c r="AE43" s="62">
        <f t="shared" si="13"/>
        <v>82.083343999999997</v>
      </c>
    </row>
    <row r="44" spans="1:31" x14ac:dyDescent="0.3">
      <c r="A44" t="s">
        <v>114</v>
      </c>
      <c r="B44" t="s">
        <v>112</v>
      </c>
      <c r="C44" t="s">
        <v>70</v>
      </c>
      <c r="D44">
        <v>1</v>
      </c>
      <c r="E44" s="52">
        <v>1200</v>
      </c>
      <c r="F44" s="53">
        <v>0.44931500000000002</v>
      </c>
      <c r="G44" s="54">
        <v>6470.1360000000004</v>
      </c>
      <c r="H44" s="52">
        <v>187</v>
      </c>
      <c r="I44" s="53">
        <v>0.44931500000000002</v>
      </c>
      <c r="J44" s="52">
        <v>141</v>
      </c>
      <c r="K44" s="52">
        <v>263</v>
      </c>
      <c r="L44" s="52">
        <f t="shared" si="0"/>
        <v>122</v>
      </c>
      <c r="M44" s="52">
        <f t="shared" si="1"/>
        <v>46</v>
      </c>
      <c r="N44" s="55">
        <f t="shared" si="2"/>
        <v>0.40163934426229508</v>
      </c>
      <c r="O44" s="56">
        <f t="shared" si="3"/>
        <v>0.44931500000000002</v>
      </c>
      <c r="V44" s="54">
        <f t="shared" si="4"/>
        <v>141</v>
      </c>
      <c r="W44" s="52">
        <f t="shared" si="5"/>
        <v>152.5</v>
      </c>
      <c r="X44" s="52">
        <f t="shared" si="6"/>
        <v>125.75</v>
      </c>
      <c r="Y44" s="55">
        <f t="shared" si="7"/>
        <v>-96.348243618903211</v>
      </c>
      <c r="Z44" s="55">
        <f t="shared" si="8"/>
        <v>144.82881602223907</v>
      </c>
      <c r="AA44" s="55">
        <f t="shared" si="9"/>
        <v>144.82881602223907</v>
      </c>
      <c r="AB44" s="52">
        <f t="shared" si="10"/>
        <v>0.12510699030976438</v>
      </c>
      <c r="AC44" s="52">
        <f t="shared" si="11"/>
        <v>0.75159032786885249</v>
      </c>
      <c r="AD44" s="52">
        <f t="shared" si="12"/>
        <v>108.85193731901238</v>
      </c>
      <c r="AE44" s="62">
        <f t="shared" si="13"/>
        <v>76.196356123308661</v>
      </c>
    </row>
    <row r="45" spans="1:31" x14ac:dyDescent="0.3">
      <c r="A45" t="s">
        <v>115</v>
      </c>
      <c r="B45" t="s">
        <v>112</v>
      </c>
      <c r="C45" t="s">
        <v>70</v>
      </c>
      <c r="D45">
        <v>2</v>
      </c>
      <c r="E45" s="52">
        <v>1900</v>
      </c>
      <c r="F45" s="53">
        <v>0.50958899999999996</v>
      </c>
      <c r="G45" s="54">
        <v>11618.629199999999</v>
      </c>
      <c r="H45" s="52">
        <v>225</v>
      </c>
      <c r="I45" s="53">
        <v>0.50958899999999996</v>
      </c>
      <c r="J45" s="52">
        <v>157</v>
      </c>
      <c r="K45" s="52">
        <v>314</v>
      </c>
      <c r="L45" s="52">
        <f t="shared" si="0"/>
        <v>157</v>
      </c>
      <c r="M45" s="52">
        <f t="shared" si="1"/>
        <v>68</v>
      </c>
      <c r="N45" s="55">
        <f t="shared" si="2"/>
        <v>0.44649681528662422</v>
      </c>
      <c r="O45" s="56">
        <f t="shared" si="3"/>
        <v>0.50958899999999996</v>
      </c>
      <c r="V45" s="54">
        <f t="shared" si="4"/>
        <v>157</v>
      </c>
      <c r="W45" s="52">
        <f t="shared" si="5"/>
        <v>196.25</v>
      </c>
      <c r="X45" s="52">
        <f t="shared" si="6"/>
        <v>137.375</v>
      </c>
      <c r="Y45" s="55">
        <f t="shared" si="7"/>
        <v>-123.98913318170331</v>
      </c>
      <c r="Z45" s="55">
        <f t="shared" si="8"/>
        <v>174.15265668435686</v>
      </c>
      <c r="AA45" s="55">
        <f t="shared" si="9"/>
        <v>174.15265668435686</v>
      </c>
      <c r="AB45" s="52">
        <f t="shared" si="10"/>
        <v>0.18740207227697761</v>
      </c>
      <c r="AC45" s="52">
        <f t="shared" si="11"/>
        <v>0.70228999999999997</v>
      </c>
      <c r="AD45" s="52">
        <f t="shared" si="12"/>
        <v>122.30566926285697</v>
      </c>
      <c r="AE45" s="62">
        <f t="shared" si="13"/>
        <v>85.613968483999869</v>
      </c>
    </row>
    <row r="46" spans="1:31" x14ac:dyDescent="0.3">
      <c r="A46" t="s">
        <v>116</v>
      </c>
      <c r="B46" t="s">
        <v>117</v>
      </c>
      <c r="C46" t="s">
        <v>61</v>
      </c>
      <c r="D46">
        <v>1</v>
      </c>
      <c r="E46" s="52">
        <v>1000</v>
      </c>
      <c r="F46" s="53">
        <v>0.72054799999999997</v>
      </c>
      <c r="G46" s="54">
        <v>8646.5759999999991</v>
      </c>
      <c r="H46" s="52">
        <v>123</v>
      </c>
      <c r="I46" s="53">
        <v>0.72054799999999997</v>
      </c>
      <c r="J46" s="52">
        <v>93</v>
      </c>
      <c r="K46" s="52">
        <v>159</v>
      </c>
      <c r="L46" s="52">
        <f t="shared" si="0"/>
        <v>66</v>
      </c>
      <c r="M46" s="52">
        <f t="shared" si="1"/>
        <v>30</v>
      </c>
      <c r="N46" s="55">
        <f t="shared" si="2"/>
        <v>0.46363636363636362</v>
      </c>
      <c r="O46" s="56">
        <f t="shared" si="3"/>
        <v>0.72054799999999997</v>
      </c>
      <c r="V46" s="54">
        <f t="shared" si="4"/>
        <v>93</v>
      </c>
      <c r="W46" s="52">
        <f t="shared" si="5"/>
        <v>82.5</v>
      </c>
      <c r="X46" s="52">
        <f t="shared" si="6"/>
        <v>84.75</v>
      </c>
      <c r="Y46" s="55">
        <f t="shared" si="7"/>
        <v>-52.122820318423045</v>
      </c>
      <c r="Z46" s="55">
        <f t="shared" si="8"/>
        <v>86.710670962850642</v>
      </c>
      <c r="AA46" s="55">
        <f t="shared" si="9"/>
        <v>93</v>
      </c>
      <c r="AB46" s="52">
        <f t="shared" si="10"/>
        <v>0.1</v>
      </c>
      <c r="AC46" s="52">
        <f t="shared" si="11"/>
        <v>0.77146000000000003</v>
      </c>
      <c r="AD46" s="52">
        <f t="shared" si="12"/>
        <v>71.745779999999996</v>
      </c>
      <c r="AE46" s="62">
        <f t="shared" si="13"/>
        <v>50.222045999999992</v>
      </c>
    </row>
    <row r="47" spans="1:31" x14ac:dyDescent="0.3">
      <c r="A47" t="s">
        <v>118</v>
      </c>
      <c r="B47" t="s">
        <v>117</v>
      </c>
      <c r="C47" t="s">
        <v>61</v>
      </c>
      <c r="D47">
        <v>2</v>
      </c>
      <c r="E47" s="52">
        <v>1500</v>
      </c>
      <c r="F47" s="53">
        <v>0.49589</v>
      </c>
      <c r="G47" s="54">
        <v>8926.02</v>
      </c>
      <c r="H47" s="52">
        <v>263</v>
      </c>
      <c r="I47" s="53">
        <v>0.49589</v>
      </c>
      <c r="J47" s="52">
        <v>145</v>
      </c>
      <c r="K47" s="52">
        <v>462</v>
      </c>
      <c r="L47" s="52">
        <f t="shared" si="0"/>
        <v>317</v>
      </c>
      <c r="M47" s="52">
        <f t="shared" si="1"/>
        <v>118</v>
      </c>
      <c r="N47" s="55">
        <f t="shared" si="2"/>
        <v>0.39779179810725551</v>
      </c>
      <c r="O47" s="56">
        <f t="shared" si="3"/>
        <v>0.49589</v>
      </c>
      <c r="V47" s="54">
        <f t="shared" si="4"/>
        <v>145</v>
      </c>
      <c r="W47" s="52">
        <f t="shared" si="5"/>
        <v>396.25</v>
      </c>
      <c r="X47" s="52">
        <f t="shared" si="6"/>
        <v>105.375</v>
      </c>
      <c r="Y47" s="55">
        <f t="shared" si="7"/>
        <v>-250.3474854687895</v>
      </c>
      <c r="Z47" s="55">
        <f t="shared" si="8"/>
        <v>265.63307113975236</v>
      </c>
      <c r="AA47" s="55">
        <f t="shared" si="9"/>
        <v>265.63307113975236</v>
      </c>
      <c r="AB47" s="52">
        <f t="shared" si="10"/>
        <v>0.40443677259243499</v>
      </c>
      <c r="AC47" s="52">
        <f t="shared" si="11"/>
        <v>0.53052873817034696</v>
      </c>
      <c r="AD47" s="52">
        <f t="shared" si="12"/>
        <v>140.92597804808682</v>
      </c>
      <c r="AE47" s="62">
        <f t="shared" si="13"/>
        <v>98.648184633660762</v>
      </c>
    </row>
    <row r="48" spans="1:31" x14ac:dyDescent="0.3">
      <c r="A48" t="s">
        <v>119</v>
      </c>
      <c r="B48" t="s">
        <v>117</v>
      </c>
      <c r="C48" t="s">
        <v>70</v>
      </c>
      <c r="D48">
        <v>1</v>
      </c>
      <c r="E48" s="52">
        <v>1300</v>
      </c>
      <c r="F48" s="53">
        <v>0.44931500000000002</v>
      </c>
      <c r="G48" s="54">
        <v>7009.3140000000003</v>
      </c>
      <c r="H48" s="52">
        <v>238</v>
      </c>
      <c r="I48" s="53">
        <v>0.44931500000000002</v>
      </c>
      <c r="J48" s="52">
        <v>181</v>
      </c>
      <c r="K48" s="52">
        <v>316</v>
      </c>
      <c r="L48" s="52">
        <f t="shared" si="0"/>
        <v>135</v>
      </c>
      <c r="M48" s="52">
        <f t="shared" si="1"/>
        <v>57</v>
      </c>
      <c r="N48" s="55">
        <f t="shared" si="2"/>
        <v>0.43777777777777782</v>
      </c>
      <c r="O48" s="56">
        <f t="shared" si="3"/>
        <v>0.44931500000000002</v>
      </c>
      <c r="V48" s="54">
        <f t="shared" si="4"/>
        <v>181</v>
      </c>
      <c r="W48" s="52">
        <f t="shared" si="5"/>
        <v>168.75</v>
      </c>
      <c r="X48" s="52">
        <f t="shared" si="6"/>
        <v>164.125</v>
      </c>
      <c r="Y48" s="55">
        <f t="shared" si="7"/>
        <v>-106.61485974222896</v>
      </c>
      <c r="Z48" s="55">
        <f t="shared" si="8"/>
        <v>172.74909969673993</v>
      </c>
      <c r="AA48" s="55">
        <f t="shared" si="9"/>
        <v>181</v>
      </c>
      <c r="AB48" s="52">
        <f t="shared" si="10"/>
        <v>0.1</v>
      </c>
      <c r="AC48" s="52">
        <f t="shared" si="11"/>
        <v>0.77146000000000003</v>
      </c>
      <c r="AD48" s="52">
        <f t="shared" si="12"/>
        <v>139.63426000000001</v>
      </c>
      <c r="AE48" s="62">
        <f t="shared" si="13"/>
        <v>97.743982000000003</v>
      </c>
    </row>
    <row r="49" spans="1:31" x14ac:dyDescent="0.3">
      <c r="A49" t="s">
        <v>120</v>
      </c>
      <c r="B49" t="s">
        <v>107</v>
      </c>
      <c r="C49" t="s">
        <v>70</v>
      </c>
      <c r="D49">
        <v>1</v>
      </c>
      <c r="E49" s="52">
        <v>850</v>
      </c>
      <c r="F49" s="53">
        <v>0.53150699999999995</v>
      </c>
      <c r="G49" s="54">
        <v>5421.3713999999991</v>
      </c>
      <c r="H49" s="52">
        <v>146</v>
      </c>
      <c r="I49" s="53">
        <v>0.53150699999999995</v>
      </c>
      <c r="J49" s="52">
        <v>96</v>
      </c>
      <c r="K49" s="52">
        <v>245</v>
      </c>
      <c r="L49" s="52">
        <f t="shared" si="0"/>
        <v>149</v>
      </c>
      <c r="M49" s="52">
        <f t="shared" si="1"/>
        <v>50</v>
      </c>
      <c r="N49" s="55">
        <f t="shared" si="2"/>
        <v>0.36845637583892621</v>
      </c>
      <c r="O49" s="56">
        <f t="shared" si="3"/>
        <v>0.53150699999999995</v>
      </c>
      <c r="V49" s="54">
        <f t="shared" si="4"/>
        <v>96</v>
      </c>
      <c r="W49" s="52">
        <f t="shared" si="5"/>
        <v>186.25</v>
      </c>
      <c r="X49" s="52">
        <f t="shared" si="6"/>
        <v>77.375</v>
      </c>
      <c r="Y49" s="55">
        <f t="shared" si="7"/>
        <v>-117.67121556734901</v>
      </c>
      <c r="Z49" s="55">
        <f t="shared" si="8"/>
        <v>138.77863596158707</v>
      </c>
      <c r="AA49" s="55">
        <f t="shared" si="9"/>
        <v>138.77863596158707</v>
      </c>
      <c r="AB49" s="52">
        <f t="shared" si="10"/>
        <v>0.32968395147160845</v>
      </c>
      <c r="AC49" s="52">
        <f t="shared" si="11"/>
        <v>0.58968812080536903</v>
      </c>
      <c r="AD49" s="52">
        <f t="shared" si="12"/>
        <v>81.836113048120694</v>
      </c>
      <c r="AE49" s="62">
        <f t="shared" si="13"/>
        <v>57.285279133684483</v>
      </c>
    </row>
    <row r="50" spans="1:31" x14ac:dyDescent="0.3">
      <c r="A50" t="s">
        <v>121</v>
      </c>
      <c r="B50" t="s">
        <v>117</v>
      </c>
      <c r="C50" t="s">
        <v>70</v>
      </c>
      <c r="D50">
        <v>2</v>
      </c>
      <c r="E50" s="52">
        <v>1800</v>
      </c>
      <c r="F50" s="53">
        <v>0.15068500000000001</v>
      </c>
      <c r="G50" s="54">
        <v>3254.7960000000003</v>
      </c>
      <c r="H50" s="52">
        <v>349</v>
      </c>
      <c r="I50" s="53">
        <v>0.15068500000000001</v>
      </c>
      <c r="J50" s="52">
        <v>145</v>
      </c>
      <c r="K50" s="52">
        <v>412</v>
      </c>
      <c r="L50" s="52">
        <f t="shared" si="0"/>
        <v>267</v>
      </c>
      <c r="M50" s="52">
        <f t="shared" si="1"/>
        <v>204</v>
      </c>
      <c r="N50" s="55">
        <f t="shared" si="2"/>
        <v>0.71123595505617987</v>
      </c>
      <c r="O50" s="56">
        <f t="shared" si="3"/>
        <v>0.15068500000000001</v>
      </c>
      <c r="V50" s="54">
        <f t="shared" si="4"/>
        <v>145</v>
      </c>
      <c r="W50" s="52">
        <f t="shared" si="5"/>
        <v>333.75</v>
      </c>
      <c r="X50" s="52">
        <f t="shared" si="6"/>
        <v>111.625</v>
      </c>
      <c r="Y50" s="55">
        <f t="shared" si="7"/>
        <v>-210.86050037907506</v>
      </c>
      <c r="Z50" s="55">
        <f t="shared" si="8"/>
        <v>235.17044162244125</v>
      </c>
      <c r="AA50" s="55">
        <f t="shared" si="9"/>
        <v>235.17044162244125</v>
      </c>
      <c r="AB50" s="52">
        <f t="shared" si="10"/>
        <v>0.37017360785750186</v>
      </c>
      <c r="AC50" s="52">
        <f t="shared" si="11"/>
        <v>0.55764460674157301</v>
      </c>
      <c r="AD50" s="52">
        <f t="shared" si="12"/>
        <v>131.1415284357883</v>
      </c>
      <c r="AE50" s="62">
        <f t="shared" si="13"/>
        <v>91.799069905051809</v>
      </c>
    </row>
    <row r="51" spans="1:31" x14ac:dyDescent="0.3">
      <c r="A51" t="s">
        <v>122</v>
      </c>
      <c r="B51" t="s">
        <v>123</v>
      </c>
      <c r="C51" t="s">
        <v>61</v>
      </c>
      <c r="D51">
        <v>1</v>
      </c>
      <c r="E51" s="52">
        <v>1100</v>
      </c>
      <c r="F51" s="53">
        <v>0.6</v>
      </c>
      <c r="G51" s="54">
        <v>7920</v>
      </c>
      <c r="H51" s="52">
        <v>147</v>
      </c>
      <c r="I51" s="53">
        <v>0.6</v>
      </c>
      <c r="J51" s="52">
        <v>99</v>
      </c>
      <c r="K51" s="52">
        <v>215</v>
      </c>
      <c r="L51" s="52">
        <f t="shared" si="0"/>
        <v>116</v>
      </c>
      <c r="M51" s="52">
        <f t="shared" si="1"/>
        <v>48</v>
      </c>
      <c r="N51" s="55">
        <f t="shared" si="2"/>
        <v>0.43103448275862077</v>
      </c>
      <c r="O51" s="56">
        <f t="shared" si="3"/>
        <v>0.6</v>
      </c>
      <c r="V51" s="54">
        <f t="shared" si="4"/>
        <v>99</v>
      </c>
      <c r="W51" s="52">
        <f t="shared" si="5"/>
        <v>145</v>
      </c>
      <c r="X51" s="52">
        <f t="shared" si="6"/>
        <v>84.5</v>
      </c>
      <c r="Y51" s="55">
        <f t="shared" si="7"/>
        <v>-91.609805408137476</v>
      </c>
      <c r="Z51" s="55">
        <f t="shared" si="8"/>
        <v>120.17330048016173</v>
      </c>
      <c r="AA51" s="55">
        <f t="shared" si="9"/>
        <v>120.17330048016173</v>
      </c>
      <c r="AB51" s="52">
        <f t="shared" si="10"/>
        <v>0.24602276193214986</v>
      </c>
      <c r="AC51" s="52">
        <f t="shared" si="11"/>
        <v>0.65589758620689664</v>
      </c>
      <c r="AD51" s="52">
        <f t="shared" si="12"/>
        <v>78.821377711454176</v>
      </c>
      <c r="AE51" s="62">
        <f t="shared" si="13"/>
        <v>55.17496439801792</v>
      </c>
    </row>
    <row r="52" spans="1:31" x14ac:dyDescent="0.3">
      <c r="A52" t="s">
        <v>124</v>
      </c>
      <c r="B52" t="s">
        <v>123</v>
      </c>
      <c r="C52" t="s">
        <v>61</v>
      </c>
      <c r="D52">
        <v>2</v>
      </c>
      <c r="E52" s="52">
        <v>1400</v>
      </c>
      <c r="F52" s="53">
        <v>0.52602700000000002</v>
      </c>
      <c r="G52" s="54">
        <v>8837.2536</v>
      </c>
      <c r="H52" s="52">
        <v>151</v>
      </c>
      <c r="I52" s="53">
        <v>0.52602700000000002</v>
      </c>
      <c r="J52" s="52">
        <v>120</v>
      </c>
      <c r="K52" s="52">
        <v>188</v>
      </c>
      <c r="L52" s="52">
        <f t="shared" si="0"/>
        <v>68</v>
      </c>
      <c r="M52" s="52">
        <f t="shared" si="1"/>
        <v>31</v>
      </c>
      <c r="N52" s="55">
        <f t="shared" si="2"/>
        <v>0.46470588235294119</v>
      </c>
      <c r="O52" s="56">
        <f t="shared" si="3"/>
        <v>0.52602700000000002</v>
      </c>
      <c r="V52" s="54">
        <f t="shared" si="4"/>
        <v>120</v>
      </c>
      <c r="W52" s="52">
        <f t="shared" si="5"/>
        <v>85</v>
      </c>
      <c r="X52" s="52">
        <f t="shared" si="6"/>
        <v>111.5</v>
      </c>
      <c r="Y52" s="55">
        <f t="shared" si="7"/>
        <v>-53.702299722011624</v>
      </c>
      <c r="Z52" s="55">
        <f t="shared" si="8"/>
        <v>101.42917614354309</v>
      </c>
      <c r="AA52" s="55">
        <f t="shared" si="9"/>
        <v>120</v>
      </c>
      <c r="AB52" s="52">
        <f t="shared" si="10"/>
        <v>0.1</v>
      </c>
      <c r="AC52" s="52">
        <f t="shared" si="11"/>
        <v>0.77146000000000003</v>
      </c>
      <c r="AD52" s="52">
        <f t="shared" si="12"/>
        <v>92.575200000000009</v>
      </c>
      <c r="AE52" s="62">
        <f t="shared" si="13"/>
        <v>64.802639999999997</v>
      </c>
    </row>
    <row r="53" spans="1:31" x14ac:dyDescent="0.3">
      <c r="A53" t="s">
        <v>125</v>
      </c>
      <c r="B53" t="s">
        <v>123</v>
      </c>
      <c r="C53" t="s">
        <v>70</v>
      </c>
      <c r="D53">
        <v>1</v>
      </c>
      <c r="E53" s="52">
        <v>1300</v>
      </c>
      <c r="F53" s="53">
        <v>0.21095900000000001</v>
      </c>
      <c r="G53" s="54">
        <v>3290.9603999999999</v>
      </c>
      <c r="H53" s="52">
        <v>429</v>
      </c>
      <c r="I53" s="53">
        <v>0.21095900000000001</v>
      </c>
      <c r="J53" s="52">
        <v>263</v>
      </c>
      <c r="K53" s="52">
        <v>489</v>
      </c>
      <c r="L53" s="52">
        <f t="shared" si="0"/>
        <v>226</v>
      </c>
      <c r="M53" s="52">
        <f t="shared" si="1"/>
        <v>166</v>
      </c>
      <c r="N53" s="55">
        <f t="shared" si="2"/>
        <v>0.68761061946902657</v>
      </c>
      <c r="O53" s="56">
        <f t="shared" si="3"/>
        <v>0.21095900000000001</v>
      </c>
      <c r="V53" s="54">
        <f t="shared" si="4"/>
        <v>263</v>
      </c>
      <c r="W53" s="52">
        <f t="shared" si="5"/>
        <v>282.5</v>
      </c>
      <c r="X53" s="52">
        <f t="shared" si="6"/>
        <v>234.75</v>
      </c>
      <c r="Y53" s="55">
        <f t="shared" si="7"/>
        <v>-178.48117260550922</v>
      </c>
      <c r="Z53" s="55">
        <f t="shared" si="8"/>
        <v>269.19108541824613</v>
      </c>
      <c r="AA53" s="55">
        <f t="shared" si="9"/>
        <v>269.19108541824613</v>
      </c>
      <c r="AB53" s="52">
        <f t="shared" si="10"/>
        <v>0.12191534661326064</v>
      </c>
      <c r="AC53" s="52">
        <f t="shared" si="11"/>
        <v>0.75411619469026558</v>
      </c>
      <c r="AD53" s="52">
        <f t="shared" si="12"/>
        <v>203.00135698015001</v>
      </c>
      <c r="AE53" s="62">
        <f t="shared" si="13"/>
        <v>142.10094988610498</v>
      </c>
    </row>
    <row r="54" spans="1:31" x14ac:dyDescent="0.3">
      <c r="A54" t="s">
        <v>126</v>
      </c>
      <c r="B54" t="s">
        <v>123</v>
      </c>
      <c r="C54" t="s">
        <v>70</v>
      </c>
      <c r="D54">
        <v>2</v>
      </c>
      <c r="E54" s="52">
        <v>1900</v>
      </c>
      <c r="F54" s="53">
        <v>0.331507</v>
      </c>
      <c r="G54" s="54">
        <v>7558.3595999999998</v>
      </c>
      <c r="H54" s="52">
        <v>441</v>
      </c>
      <c r="I54" s="53">
        <v>0.331507</v>
      </c>
      <c r="J54" s="52">
        <v>335</v>
      </c>
      <c r="K54" s="52">
        <v>502</v>
      </c>
      <c r="L54" s="52">
        <f t="shared" si="0"/>
        <v>167</v>
      </c>
      <c r="M54" s="52">
        <f t="shared" si="1"/>
        <v>106</v>
      </c>
      <c r="N54" s="55">
        <f t="shared" si="2"/>
        <v>0.60778443113772462</v>
      </c>
      <c r="O54" s="56">
        <f t="shared" si="3"/>
        <v>0.331507</v>
      </c>
      <c r="V54" s="54">
        <f t="shared" si="4"/>
        <v>335</v>
      </c>
      <c r="W54" s="52">
        <f t="shared" si="5"/>
        <v>208.75</v>
      </c>
      <c r="X54" s="52">
        <f t="shared" si="6"/>
        <v>314.125</v>
      </c>
      <c r="Y54" s="55">
        <f t="shared" si="7"/>
        <v>-131.88653019964619</v>
      </c>
      <c r="Z54" s="55">
        <f t="shared" si="8"/>
        <v>269.24518258781899</v>
      </c>
      <c r="AA54" s="55">
        <f t="shared" si="9"/>
        <v>335</v>
      </c>
      <c r="AB54" s="52">
        <f t="shared" si="10"/>
        <v>0.1</v>
      </c>
      <c r="AC54" s="52">
        <f t="shared" si="11"/>
        <v>0.77146000000000003</v>
      </c>
      <c r="AD54" s="52">
        <f t="shared" si="12"/>
        <v>258.4391</v>
      </c>
      <c r="AE54" s="62">
        <f t="shared" si="13"/>
        <v>180.90736999999999</v>
      </c>
    </row>
    <row r="55" spans="1:31" x14ac:dyDescent="0.3">
      <c r="A55" t="s">
        <v>127</v>
      </c>
      <c r="B55" t="s">
        <v>128</v>
      </c>
      <c r="C55" t="s">
        <v>61</v>
      </c>
      <c r="D55">
        <v>1</v>
      </c>
      <c r="E55" s="52">
        <v>900</v>
      </c>
      <c r="F55" s="53">
        <v>0.32876699999999998</v>
      </c>
      <c r="G55" s="54">
        <v>3550.6835999999998</v>
      </c>
      <c r="H55" s="52">
        <v>144</v>
      </c>
      <c r="I55" s="53">
        <v>0.32876699999999998</v>
      </c>
      <c r="J55" s="52">
        <v>98</v>
      </c>
      <c r="K55" s="52">
        <v>195</v>
      </c>
      <c r="L55" s="52">
        <f t="shared" si="0"/>
        <v>97</v>
      </c>
      <c r="M55" s="52">
        <f t="shared" si="1"/>
        <v>46</v>
      </c>
      <c r="N55" s="55">
        <f t="shared" si="2"/>
        <v>0.47938144329896915</v>
      </c>
      <c r="O55" s="56">
        <f t="shared" si="3"/>
        <v>0.32876699999999998</v>
      </c>
      <c r="V55" s="54">
        <f t="shared" si="4"/>
        <v>98</v>
      </c>
      <c r="W55" s="52">
        <f t="shared" si="5"/>
        <v>121.25</v>
      </c>
      <c r="X55" s="52">
        <f t="shared" si="6"/>
        <v>85.875</v>
      </c>
      <c r="Y55" s="55">
        <f t="shared" si="7"/>
        <v>-76.604751074045993</v>
      </c>
      <c r="Z55" s="55">
        <f t="shared" si="8"/>
        <v>108.09750126358351</v>
      </c>
      <c r="AA55" s="55">
        <f t="shared" si="9"/>
        <v>108.09750126358351</v>
      </c>
      <c r="AB55" s="52">
        <f t="shared" si="10"/>
        <v>0.18327836093677122</v>
      </c>
      <c r="AC55" s="52">
        <f t="shared" si="11"/>
        <v>0.70555350515463933</v>
      </c>
      <c r="AD55" s="52">
        <f t="shared" si="12"/>
        <v>76.268570914979392</v>
      </c>
      <c r="AE55" s="62">
        <f t="shared" si="13"/>
        <v>53.387999640485575</v>
      </c>
    </row>
    <row r="56" spans="1:31" x14ac:dyDescent="0.3">
      <c r="A56" t="s">
        <v>129</v>
      </c>
      <c r="B56" t="s">
        <v>128</v>
      </c>
      <c r="C56" t="s">
        <v>61</v>
      </c>
      <c r="D56">
        <v>2</v>
      </c>
      <c r="E56" s="52">
        <v>1400</v>
      </c>
      <c r="F56" s="53">
        <v>0.61917800000000001</v>
      </c>
      <c r="G56" s="54">
        <v>10402.190399999999</v>
      </c>
      <c r="H56" s="52">
        <v>136</v>
      </c>
      <c r="I56" s="53">
        <v>0.61917800000000001</v>
      </c>
      <c r="J56" s="52">
        <v>77</v>
      </c>
      <c r="K56" s="52">
        <v>260</v>
      </c>
      <c r="L56" s="52">
        <f t="shared" si="0"/>
        <v>183</v>
      </c>
      <c r="M56" s="52">
        <f t="shared" si="1"/>
        <v>59</v>
      </c>
      <c r="N56" s="55">
        <f t="shared" si="2"/>
        <v>0.35792349726775963</v>
      </c>
      <c r="O56" s="56">
        <f t="shared" si="3"/>
        <v>0.61917800000000001</v>
      </c>
      <c r="V56" s="54">
        <f t="shared" si="4"/>
        <v>77</v>
      </c>
      <c r="W56" s="52">
        <f t="shared" si="5"/>
        <v>228.75</v>
      </c>
      <c r="X56" s="52">
        <f t="shared" si="6"/>
        <v>54.125</v>
      </c>
      <c r="Y56" s="55">
        <f t="shared" si="7"/>
        <v>-144.52236542835482</v>
      </c>
      <c r="Z56" s="55">
        <f t="shared" si="8"/>
        <v>149.99322403335862</v>
      </c>
      <c r="AA56" s="55">
        <f t="shared" si="9"/>
        <v>149.99322403335862</v>
      </c>
      <c r="AB56" s="52">
        <f t="shared" si="10"/>
        <v>0.4190960613480158</v>
      </c>
      <c r="AC56" s="52">
        <f t="shared" si="11"/>
        <v>0.51892737704918024</v>
      </c>
      <c r="AD56" s="52">
        <f t="shared" si="12"/>
        <v>77.835590322780845</v>
      </c>
      <c r="AE56" s="62">
        <f t="shared" si="13"/>
        <v>54.484913225946592</v>
      </c>
    </row>
    <row r="57" spans="1:31" x14ac:dyDescent="0.3">
      <c r="A57" t="s">
        <v>130</v>
      </c>
      <c r="B57" t="s">
        <v>128</v>
      </c>
      <c r="C57" t="s">
        <v>70</v>
      </c>
      <c r="D57">
        <v>1</v>
      </c>
      <c r="E57" s="52">
        <v>1400</v>
      </c>
      <c r="F57" s="53">
        <v>0.271233</v>
      </c>
      <c r="G57" s="54">
        <v>4556.7143999999998</v>
      </c>
      <c r="H57" s="52">
        <v>305</v>
      </c>
      <c r="I57" s="53">
        <v>0.271233</v>
      </c>
      <c r="J57" s="52">
        <v>173</v>
      </c>
      <c r="K57" s="52">
        <v>322</v>
      </c>
      <c r="L57" s="52">
        <f t="shared" si="0"/>
        <v>149</v>
      </c>
      <c r="M57" s="52">
        <f t="shared" si="1"/>
        <v>132</v>
      </c>
      <c r="N57" s="55">
        <f t="shared" si="2"/>
        <v>0.8087248322147651</v>
      </c>
      <c r="O57" s="56">
        <f t="shared" si="3"/>
        <v>0.271233</v>
      </c>
      <c r="V57" s="54">
        <f t="shared" si="4"/>
        <v>173</v>
      </c>
      <c r="W57" s="52">
        <f t="shared" si="5"/>
        <v>186.25</v>
      </c>
      <c r="X57" s="52">
        <f t="shared" si="6"/>
        <v>154.375</v>
      </c>
      <c r="Y57" s="55">
        <f t="shared" si="7"/>
        <v>-117.67121556734901</v>
      </c>
      <c r="Z57" s="55">
        <f t="shared" si="8"/>
        <v>177.27863596158707</v>
      </c>
      <c r="AA57" s="55">
        <f t="shared" si="9"/>
        <v>177.27863596158707</v>
      </c>
      <c r="AB57" s="52">
        <f t="shared" si="10"/>
        <v>0.12297254207563528</v>
      </c>
      <c r="AC57" s="52">
        <f t="shared" si="11"/>
        <v>0.75327953020134231</v>
      </c>
      <c r="AD57" s="52">
        <f t="shared" si="12"/>
        <v>133.54036761187911</v>
      </c>
      <c r="AE57" s="62">
        <f t="shared" si="13"/>
        <v>93.478257328315365</v>
      </c>
    </row>
    <row r="58" spans="1:31" x14ac:dyDescent="0.3">
      <c r="A58" t="s">
        <v>131</v>
      </c>
      <c r="B58" t="s">
        <v>128</v>
      </c>
      <c r="C58" t="s">
        <v>70</v>
      </c>
      <c r="D58">
        <v>2</v>
      </c>
      <c r="E58" s="52">
        <v>1700</v>
      </c>
      <c r="F58" s="53">
        <v>0.32876699999999998</v>
      </c>
      <c r="G58" s="54">
        <v>6706.8467999999993</v>
      </c>
      <c r="H58" s="52">
        <v>425</v>
      </c>
      <c r="I58" s="53">
        <v>0.32876699999999998</v>
      </c>
      <c r="J58" s="52">
        <v>176</v>
      </c>
      <c r="K58" s="52">
        <v>469</v>
      </c>
      <c r="L58" s="52">
        <f t="shared" si="0"/>
        <v>293</v>
      </c>
      <c r="M58" s="52">
        <f t="shared" si="1"/>
        <v>249</v>
      </c>
      <c r="N58" s="55">
        <f t="shared" si="2"/>
        <v>0.779863481228669</v>
      </c>
      <c r="O58" s="56">
        <f t="shared" si="3"/>
        <v>0.32876699999999998</v>
      </c>
      <c r="V58" s="54">
        <f t="shared" si="4"/>
        <v>176</v>
      </c>
      <c r="W58" s="52">
        <f t="shared" si="5"/>
        <v>366.25</v>
      </c>
      <c r="X58" s="52">
        <f t="shared" si="6"/>
        <v>139.375</v>
      </c>
      <c r="Y58" s="55">
        <f t="shared" si="7"/>
        <v>-231.39373262572656</v>
      </c>
      <c r="Z58" s="55">
        <f t="shared" si="8"/>
        <v>266.511008971443</v>
      </c>
      <c r="AA58" s="55">
        <f t="shared" si="9"/>
        <v>266.511008971443</v>
      </c>
      <c r="AB58" s="52">
        <f t="shared" si="10"/>
        <v>0.34712903473431539</v>
      </c>
      <c r="AC58" s="52">
        <f t="shared" si="11"/>
        <v>0.57588208191126289</v>
      </c>
      <c r="AD58" s="52">
        <f t="shared" si="12"/>
        <v>153.47891469874585</v>
      </c>
      <c r="AE58" s="62">
        <f t="shared" si="13"/>
        <v>107.43524028912209</v>
      </c>
    </row>
    <row r="59" spans="1:31" x14ac:dyDescent="0.3">
      <c r="A59" t="s">
        <v>132</v>
      </c>
      <c r="B59" t="s">
        <v>133</v>
      </c>
      <c r="C59" t="s">
        <v>61</v>
      </c>
      <c r="D59">
        <v>1</v>
      </c>
      <c r="E59" s="52">
        <v>800</v>
      </c>
      <c r="F59" s="53">
        <v>0.41369900000000004</v>
      </c>
      <c r="G59" s="54">
        <v>3971.5104000000006</v>
      </c>
      <c r="H59" s="52">
        <v>176</v>
      </c>
      <c r="I59" s="53">
        <v>0.41369900000000004</v>
      </c>
      <c r="J59" s="52">
        <v>86</v>
      </c>
      <c r="K59" s="52">
        <v>224</v>
      </c>
      <c r="L59" s="52">
        <f t="shared" si="0"/>
        <v>138</v>
      </c>
      <c r="M59" s="52">
        <f t="shared" si="1"/>
        <v>90</v>
      </c>
      <c r="N59" s="55">
        <f t="shared" si="2"/>
        <v>0.62173913043478257</v>
      </c>
      <c r="O59" s="56">
        <f t="shared" si="3"/>
        <v>0.41369900000000004</v>
      </c>
      <c r="V59" s="54">
        <f t="shared" si="4"/>
        <v>86</v>
      </c>
      <c r="W59" s="52">
        <f t="shared" si="5"/>
        <v>172.5</v>
      </c>
      <c r="X59" s="52">
        <f t="shared" si="6"/>
        <v>68.75</v>
      </c>
      <c r="Y59" s="55">
        <f t="shared" si="7"/>
        <v>-108.98407884761183</v>
      </c>
      <c r="Z59" s="55">
        <f t="shared" si="8"/>
        <v>127.07685746777862</v>
      </c>
      <c r="AA59" s="55">
        <f t="shared" si="9"/>
        <v>127.07685746777862</v>
      </c>
      <c r="AB59" s="52">
        <f t="shared" si="10"/>
        <v>0.33812670995813693</v>
      </c>
      <c r="AC59" s="52">
        <f t="shared" si="11"/>
        <v>0.58300652173913048</v>
      </c>
      <c r="AD59" s="52">
        <f t="shared" si="12"/>
        <v>74.086636665828863</v>
      </c>
      <c r="AE59" s="62">
        <f t="shared" si="13"/>
        <v>51.860645666080202</v>
      </c>
    </row>
    <row r="60" spans="1:31" x14ac:dyDescent="0.3">
      <c r="A60" t="s">
        <v>134</v>
      </c>
      <c r="B60" t="s">
        <v>107</v>
      </c>
      <c r="C60" t="s">
        <v>70</v>
      </c>
      <c r="D60">
        <v>2</v>
      </c>
      <c r="E60" s="52">
        <v>900</v>
      </c>
      <c r="F60" s="53">
        <v>0.47945199999999999</v>
      </c>
      <c r="G60" s="54">
        <v>5178.0815999999995</v>
      </c>
      <c r="H60" s="52">
        <v>169</v>
      </c>
      <c r="I60" s="53">
        <v>0.47945199999999999</v>
      </c>
      <c r="J60" s="52">
        <v>111</v>
      </c>
      <c r="K60" s="52">
        <v>276</v>
      </c>
      <c r="L60" s="52">
        <f t="shared" si="0"/>
        <v>165</v>
      </c>
      <c r="M60" s="52">
        <f t="shared" si="1"/>
        <v>58</v>
      </c>
      <c r="N60" s="55">
        <f t="shared" si="2"/>
        <v>0.38121212121212122</v>
      </c>
      <c r="O60" s="56">
        <f t="shared" si="3"/>
        <v>0.47945199999999999</v>
      </c>
      <c r="V60" s="54">
        <f t="shared" si="4"/>
        <v>111</v>
      </c>
      <c r="W60" s="52">
        <f t="shared" si="5"/>
        <v>206.25</v>
      </c>
      <c r="X60" s="52">
        <f t="shared" si="6"/>
        <v>90.375</v>
      </c>
      <c r="Y60" s="55">
        <f t="shared" si="7"/>
        <v>-130.30705079605761</v>
      </c>
      <c r="Z60" s="55">
        <f t="shared" si="8"/>
        <v>156.02667740712658</v>
      </c>
      <c r="AA60" s="55">
        <f t="shared" si="9"/>
        <v>156.02667740712658</v>
      </c>
      <c r="AB60" s="52">
        <f t="shared" si="10"/>
        <v>0.31831116318606828</v>
      </c>
      <c r="AC60" s="52">
        <f t="shared" si="11"/>
        <v>0.59868854545454564</v>
      </c>
      <c r="AD60" s="52">
        <f t="shared" si="12"/>
        <v>93.411384548978234</v>
      </c>
      <c r="AE60" s="62">
        <f t="shared" si="13"/>
        <v>65.387969184284756</v>
      </c>
    </row>
    <row r="61" spans="1:31" x14ac:dyDescent="0.3">
      <c r="A61" t="s">
        <v>135</v>
      </c>
      <c r="B61" t="s">
        <v>133</v>
      </c>
      <c r="C61" t="s">
        <v>61</v>
      </c>
      <c r="D61">
        <v>2</v>
      </c>
      <c r="E61" s="52">
        <v>1300</v>
      </c>
      <c r="F61" s="53">
        <v>0.63013699999999995</v>
      </c>
      <c r="G61" s="54">
        <v>9830.1371999999992</v>
      </c>
      <c r="H61" s="52">
        <v>207</v>
      </c>
      <c r="I61" s="53">
        <v>0.63013699999999995</v>
      </c>
      <c r="J61" s="52">
        <v>127</v>
      </c>
      <c r="K61" s="52">
        <v>276</v>
      </c>
      <c r="L61" s="52">
        <f t="shared" si="0"/>
        <v>149</v>
      </c>
      <c r="M61" s="52">
        <f t="shared" si="1"/>
        <v>80</v>
      </c>
      <c r="N61" s="55">
        <f t="shared" si="2"/>
        <v>0.5295302013422819</v>
      </c>
      <c r="O61" s="56">
        <f t="shared" si="3"/>
        <v>0.63013699999999995</v>
      </c>
      <c r="V61" s="54">
        <f t="shared" si="4"/>
        <v>127</v>
      </c>
      <c r="W61" s="52">
        <f t="shared" si="5"/>
        <v>186.25</v>
      </c>
      <c r="X61" s="52">
        <f t="shared" si="6"/>
        <v>108.375</v>
      </c>
      <c r="Y61" s="55">
        <f t="shared" si="7"/>
        <v>-117.67121556734901</v>
      </c>
      <c r="Z61" s="55">
        <f t="shared" si="8"/>
        <v>154.27863596158707</v>
      </c>
      <c r="AA61" s="55">
        <f t="shared" si="9"/>
        <v>154.27863596158707</v>
      </c>
      <c r="AB61" s="52">
        <f t="shared" si="10"/>
        <v>0.24646247496154133</v>
      </c>
      <c r="AC61" s="52">
        <f t="shared" si="11"/>
        <v>0.65554959731543616</v>
      </c>
      <c r="AD61" s="52">
        <f t="shared" si="12"/>
        <v>101.13729767899318</v>
      </c>
      <c r="AE61" s="62">
        <f t="shared" si="13"/>
        <v>70.796108375295219</v>
      </c>
    </row>
    <row r="62" spans="1:31" x14ac:dyDescent="0.3">
      <c r="A62" t="s">
        <v>136</v>
      </c>
      <c r="B62" t="s">
        <v>133</v>
      </c>
      <c r="C62" t="s">
        <v>70</v>
      </c>
      <c r="D62">
        <v>1</v>
      </c>
      <c r="E62" s="52">
        <v>1400</v>
      </c>
      <c r="F62" s="53">
        <v>0.90410999999999997</v>
      </c>
      <c r="G62" s="54">
        <v>15189.047999999999</v>
      </c>
      <c r="H62" s="52">
        <v>244</v>
      </c>
      <c r="I62" s="53">
        <v>0.90410999999999997</v>
      </c>
      <c r="J62" s="52">
        <v>222</v>
      </c>
      <c r="K62" s="52">
        <v>381</v>
      </c>
      <c r="L62" s="52">
        <f t="shared" si="0"/>
        <v>159</v>
      </c>
      <c r="M62" s="52">
        <f t="shared" si="1"/>
        <v>22</v>
      </c>
      <c r="N62" s="55">
        <f t="shared" si="2"/>
        <v>0.21069182389937108</v>
      </c>
      <c r="O62" s="56">
        <f t="shared" si="3"/>
        <v>0.90410999999999997</v>
      </c>
      <c r="V62" s="54">
        <f t="shared" si="4"/>
        <v>222</v>
      </c>
      <c r="W62" s="52">
        <f t="shared" si="5"/>
        <v>198.75</v>
      </c>
      <c r="X62" s="52">
        <f t="shared" si="6"/>
        <v>202.125</v>
      </c>
      <c r="Y62" s="55">
        <f t="shared" si="7"/>
        <v>-125.56861258529189</v>
      </c>
      <c r="Z62" s="55">
        <f t="shared" si="8"/>
        <v>207.87116186504929</v>
      </c>
      <c r="AA62" s="55">
        <f t="shared" si="9"/>
        <v>222</v>
      </c>
      <c r="AB62" s="52">
        <f t="shared" si="10"/>
        <v>0.1</v>
      </c>
      <c r="AC62" s="52">
        <f t="shared" si="11"/>
        <v>0.77146000000000003</v>
      </c>
      <c r="AD62" s="52">
        <f t="shared" si="12"/>
        <v>171.26412000000002</v>
      </c>
      <c r="AE62" s="62">
        <f t="shared" si="13"/>
        <v>119.884884</v>
      </c>
    </row>
    <row r="63" spans="1:31" x14ac:dyDescent="0.3">
      <c r="A63" t="s">
        <v>137</v>
      </c>
      <c r="B63" t="s">
        <v>133</v>
      </c>
      <c r="C63" t="s">
        <v>70</v>
      </c>
      <c r="D63">
        <v>2</v>
      </c>
      <c r="E63" s="52">
        <v>1900</v>
      </c>
      <c r="F63" s="53">
        <v>0.542466</v>
      </c>
      <c r="G63" s="54">
        <v>12368.2248</v>
      </c>
      <c r="H63" s="52">
        <v>536</v>
      </c>
      <c r="I63" s="53">
        <v>0.542466</v>
      </c>
      <c r="J63" s="52">
        <v>386</v>
      </c>
      <c r="K63" s="52">
        <v>773</v>
      </c>
      <c r="L63" s="52">
        <f t="shared" si="0"/>
        <v>387</v>
      </c>
      <c r="M63" s="52">
        <f t="shared" si="1"/>
        <v>150</v>
      </c>
      <c r="N63" s="55">
        <f t="shared" si="2"/>
        <v>0.41007751937984493</v>
      </c>
      <c r="O63" s="56">
        <f t="shared" si="3"/>
        <v>0.542466</v>
      </c>
      <c r="V63" s="54">
        <f t="shared" si="4"/>
        <v>386</v>
      </c>
      <c r="W63" s="52">
        <f t="shared" si="5"/>
        <v>483.75</v>
      </c>
      <c r="X63" s="52">
        <f t="shared" si="6"/>
        <v>337.625</v>
      </c>
      <c r="Y63" s="55">
        <f t="shared" si="7"/>
        <v>-305.62926459438967</v>
      </c>
      <c r="Z63" s="55">
        <f t="shared" si="8"/>
        <v>428.78075246398782</v>
      </c>
      <c r="AA63" s="55">
        <f t="shared" si="9"/>
        <v>428.78075246398782</v>
      </c>
      <c r="AB63" s="52">
        <f t="shared" si="10"/>
        <v>0.18843566400824358</v>
      </c>
      <c r="AC63" s="52">
        <f t="shared" si="11"/>
        <v>0.70147201550387606</v>
      </c>
      <c r="AD63" s="52">
        <f t="shared" si="12"/>
        <v>300.77769864018211</v>
      </c>
      <c r="AE63" s="62">
        <f t="shared" si="13"/>
        <v>210.54438904812747</v>
      </c>
    </row>
    <row r="64" spans="1:31" x14ac:dyDescent="0.3">
      <c r="A64" t="s">
        <v>138</v>
      </c>
      <c r="B64" t="s">
        <v>139</v>
      </c>
      <c r="C64" t="s">
        <v>61</v>
      </c>
      <c r="D64">
        <v>1</v>
      </c>
      <c r="E64" s="52">
        <v>1700</v>
      </c>
      <c r="F64" s="53">
        <v>7.9451999999999995E-2</v>
      </c>
      <c r="G64" s="54">
        <v>1620.8208</v>
      </c>
      <c r="H64" s="52">
        <v>476</v>
      </c>
      <c r="I64" s="53">
        <v>7.9451999999999995E-2</v>
      </c>
      <c r="J64" s="52">
        <v>136</v>
      </c>
      <c r="K64" s="52">
        <v>476</v>
      </c>
      <c r="L64" s="52">
        <f t="shared" si="0"/>
        <v>340</v>
      </c>
      <c r="M64" s="52">
        <f t="shared" si="1"/>
        <v>340</v>
      </c>
      <c r="N64" s="55">
        <f t="shared" si="2"/>
        <v>0.9</v>
      </c>
      <c r="O64" s="56">
        <f t="shared" si="3"/>
        <v>7.9451999999999995E-2</v>
      </c>
      <c r="V64" s="54">
        <f t="shared" si="4"/>
        <v>136</v>
      </c>
      <c r="W64" s="52">
        <f t="shared" si="5"/>
        <v>425</v>
      </c>
      <c r="X64" s="52">
        <f t="shared" si="6"/>
        <v>93.5</v>
      </c>
      <c r="Y64" s="55">
        <f t="shared" si="7"/>
        <v>-268.51149861005814</v>
      </c>
      <c r="Z64" s="55">
        <f t="shared" si="8"/>
        <v>275.14588071771544</v>
      </c>
      <c r="AA64" s="55">
        <f t="shared" si="9"/>
        <v>275.14588071771544</v>
      </c>
      <c r="AB64" s="52">
        <f t="shared" si="10"/>
        <v>0.42740207227697752</v>
      </c>
      <c r="AC64" s="52">
        <f t="shared" si="11"/>
        <v>0.51235399999999998</v>
      </c>
      <c r="AD64" s="52">
        <f t="shared" si="12"/>
        <v>140.97209256924438</v>
      </c>
      <c r="AE64" s="62">
        <f t="shared" si="13"/>
        <v>98.680464798471064</v>
      </c>
    </row>
    <row r="65" spans="1:31" x14ac:dyDescent="0.3">
      <c r="A65" t="s">
        <v>140</v>
      </c>
      <c r="B65" t="s">
        <v>139</v>
      </c>
      <c r="C65" t="s">
        <v>61</v>
      </c>
      <c r="D65">
        <v>2</v>
      </c>
      <c r="E65" s="52">
        <v>2400</v>
      </c>
      <c r="F65" s="53">
        <v>0.55068499999999998</v>
      </c>
      <c r="G65" s="54">
        <v>15859.727999999999</v>
      </c>
      <c r="H65" s="52">
        <v>360</v>
      </c>
      <c r="I65" s="53">
        <v>0.55068499999999998</v>
      </c>
      <c r="J65" s="52">
        <v>173</v>
      </c>
      <c r="K65" s="52">
        <v>690</v>
      </c>
      <c r="L65" s="52">
        <f t="shared" si="0"/>
        <v>517</v>
      </c>
      <c r="M65" s="52">
        <f t="shared" si="1"/>
        <v>187</v>
      </c>
      <c r="N65" s="55">
        <f t="shared" si="2"/>
        <v>0.38936170212765953</v>
      </c>
      <c r="O65" s="56">
        <f t="shared" si="3"/>
        <v>0.55068499999999998</v>
      </c>
      <c r="V65" s="54">
        <f t="shared" si="4"/>
        <v>173</v>
      </c>
      <c r="W65" s="52">
        <f t="shared" si="5"/>
        <v>646.25</v>
      </c>
      <c r="X65" s="52">
        <f t="shared" si="6"/>
        <v>108.375</v>
      </c>
      <c r="Y65" s="55">
        <f t="shared" si="7"/>
        <v>-408.29542582764719</v>
      </c>
      <c r="Z65" s="55">
        <f t="shared" si="8"/>
        <v>401.4835892089967</v>
      </c>
      <c r="AA65" s="55">
        <f t="shared" si="9"/>
        <v>401.4835892089967</v>
      </c>
      <c r="AB65" s="52">
        <f t="shared" si="10"/>
        <v>0.45355294268316704</v>
      </c>
      <c r="AC65" s="52">
        <f t="shared" si="11"/>
        <v>0.49165820116054165</v>
      </c>
      <c r="AD65" s="52">
        <f t="shared" si="12"/>
        <v>197.39269926597316</v>
      </c>
      <c r="AE65" s="62">
        <f t="shared" si="13"/>
        <v>138.1748894861812</v>
      </c>
    </row>
    <row r="66" spans="1:31" x14ac:dyDescent="0.3">
      <c r="A66" t="s">
        <v>141</v>
      </c>
      <c r="B66" t="s">
        <v>139</v>
      </c>
      <c r="C66" t="s">
        <v>70</v>
      </c>
      <c r="D66">
        <v>1</v>
      </c>
      <c r="E66" s="52">
        <v>2100</v>
      </c>
      <c r="F66" s="53">
        <v>0.69315099999999996</v>
      </c>
      <c r="G66" s="54">
        <v>17467.405199999997</v>
      </c>
      <c r="H66" s="52">
        <v>1477</v>
      </c>
      <c r="I66" s="53">
        <v>0.69315099999999996</v>
      </c>
      <c r="J66" s="52">
        <v>448</v>
      </c>
      <c r="K66" s="52">
        <v>2128</v>
      </c>
      <c r="L66" s="52">
        <f t="shared" si="0"/>
        <v>1680</v>
      </c>
      <c r="M66" s="52">
        <f t="shared" si="1"/>
        <v>1029</v>
      </c>
      <c r="N66" s="55">
        <f t="shared" si="2"/>
        <v>0.59000000000000008</v>
      </c>
      <c r="O66" s="56">
        <f t="shared" si="3"/>
        <v>0.69315099999999996</v>
      </c>
      <c r="V66" s="54">
        <f t="shared" si="4"/>
        <v>448</v>
      </c>
      <c r="W66" s="52">
        <f t="shared" si="5"/>
        <v>2100</v>
      </c>
      <c r="X66" s="52">
        <f t="shared" si="6"/>
        <v>238</v>
      </c>
      <c r="Y66" s="55">
        <f t="shared" si="7"/>
        <v>-1326.7626990144049</v>
      </c>
      <c r="Z66" s="55">
        <f t="shared" si="8"/>
        <v>1247.5443517816529</v>
      </c>
      <c r="AA66" s="55">
        <f t="shared" si="9"/>
        <v>1247.5443517816529</v>
      </c>
      <c r="AB66" s="52">
        <f t="shared" si="10"/>
        <v>0.48073540561031092</v>
      </c>
      <c r="AC66" s="52">
        <f t="shared" si="11"/>
        <v>0.47014599999999995</v>
      </c>
      <c r="AD66" s="52">
        <f t="shared" si="12"/>
        <v>586.52798681273691</v>
      </c>
      <c r="AE66" s="62">
        <f t="shared" si="13"/>
        <v>410.56959076891582</v>
      </c>
    </row>
    <row r="67" spans="1:31" x14ac:dyDescent="0.3">
      <c r="A67" t="s">
        <v>142</v>
      </c>
      <c r="B67" t="s">
        <v>139</v>
      </c>
      <c r="C67" t="s">
        <v>70</v>
      </c>
      <c r="D67">
        <v>2</v>
      </c>
      <c r="E67" s="52">
        <v>3200</v>
      </c>
      <c r="F67" s="53">
        <v>0.71506800000000004</v>
      </c>
      <c r="G67" s="54">
        <v>27458.611200000003</v>
      </c>
      <c r="H67" s="52">
        <v>1265</v>
      </c>
      <c r="I67" s="53">
        <v>0.71506800000000004</v>
      </c>
      <c r="J67" s="52">
        <v>450</v>
      </c>
      <c r="K67" s="52">
        <v>2699</v>
      </c>
      <c r="L67" s="52">
        <f t="shared" si="0"/>
        <v>2249</v>
      </c>
      <c r="M67" s="52">
        <f t="shared" si="1"/>
        <v>815</v>
      </c>
      <c r="N67" s="55">
        <f t="shared" si="2"/>
        <v>0.38990662516674079</v>
      </c>
      <c r="O67" s="56">
        <f t="shared" si="3"/>
        <v>0.71506800000000004</v>
      </c>
      <c r="V67" s="54">
        <f t="shared" si="4"/>
        <v>450</v>
      </c>
      <c r="W67" s="52">
        <f t="shared" si="5"/>
        <v>2811.25</v>
      </c>
      <c r="X67" s="52">
        <f t="shared" si="6"/>
        <v>168.875</v>
      </c>
      <c r="Y67" s="55">
        <f t="shared" si="7"/>
        <v>-1776.124589335355</v>
      </c>
      <c r="Z67" s="55">
        <f t="shared" si="8"/>
        <v>1595.209075688653</v>
      </c>
      <c r="AA67" s="55">
        <f t="shared" si="9"/>
        <v>1595.209075688653</v>
      </c>
      <c r="AB67" s="52">
        <f t="shared" si="10"/>
        <v>0.50736650091192637</v>
      </c>
      <c r="AC67" s="52">
        <f t="shared" si="11"/>
        <v>0.44907015117830151</v>
      </c>
      <c r="AD67" s="52">
        <f t="shared" si="12"/>
        <v>716.36078078050207</v>
      </c>
      <c r="AE67" s="62">
        <f t="shared" si="13"/>
        <v>501.45254654635141</v>
      </c>
    </row>
    <row r="68" spans="1:31" x14ac:dyDescent="0.3">
      <c r="A68" t="s">
        <v>143</v>
      </c>
      <c r="B68" t="s">
        <v>144</v>
      </c>
      <c r="C68" t="s">
        <v>61</v>
      </c>
      <c r="D68">
        <v>1</v>
      </c>
      <c r="E68" s="52">
        <v>1300</v>
      </c>
      <c r="F68" s="53">
        <v>0.52054800000000001</v>
      </c>
      <c r="G68" s="54">
        <v>8120.5488000000005</v>
      </c>
      <c r="H68" s="52">
        <v>328</v>
      </c>
      <c r="I68" s="53">
        <v>0.52054800000000001</v>
      </c>
      <c r="J68" s="52">
        <v>291</v>
      </c>
      <c r="K68" s="52">
        <v>387</v>
      </c>
      <c r="L68" s="52">
        <f t="shared" si="0"/>
        <v>96</v>
      </c>
      <c r="M68" s="52">
        <f t="shared" si="1"/>
        <v>37</v>
      </c>
      <c r="N68" s="55">
        <f t="shared" si="2"/>
        <v>0.40833333333333333</v>
      </c>
      <c r="O68" s="56">
        <f t="shared" si="3"/>
        <v>0.52054800000000001</v>
      </c>
      <c r="V68" s="54">
        <f t="shared" si="4"/>
        <v>291</v>
      </c>
      <c r="W68" s="52">
        <f t="shared" si="5"/>
        <v>120</v>
      </c>
      <c r="X68" s="52">
        <f t="shared" si="6"/>
        <v>279</v>
      </c>
      <c r="Y68" s="55">
        <f t="shared" si="7"/>
        <v>-75.815011372251703</v>
      </c>
      <c r="Z68" s="55">
        <f t="shared" si="8"/>
        <v>203.98824867323731</v>
      </c>
      <c r="AA68" s="55">
        <f t="shared" si="9"/>
        <v>291</v>
      </c>
      <c r="AB68" s="52">
        <f t="shared" si="10"/>
        <v>0.1</v>
      </c>
      <c r="AC68" s="52">
        <f t="shared" si="11"/>
        <v>0.77146000000000003</v>
      </c>
      <c r="AD68" s="52">
        <f t="shared" si="12"/>
        <v>224.49486000000002</v>
      </c>
      <c r="AE68" s="62">
        <f t="shared" si="13"/>
        <v>157.14640199999999</v>
      </c>
    </row>
    <row r="69" spans="1:31" x14ac:dyDescent="0.3">
      <c r="A69" t="s">
        <v>145</v>
      </c>
      <c r="B69" t="s">
        <v>144</v>
      </c>
      <c r="C69" t="s">
        <v>61</v>
      </c>
      <c r="D69">
        <v>2</v>
      </c>
      <c r="E69" s="52">
        <v>1700</v>
      </c>
      <c r="F69" s="53">
        <v>0.15890399999999999</v>
      </c>
      <c r="G69" s="54">
        <v>3241.6415999999999</v>
      </c>
      <c r="H69" s="52">
        <v>246</v>
      </c>
      <c r="I69" s="53">
        <v>0.15890399999999999</v>
      </c>
      <c r="J69" s="52">
        <v>203</v>
      </c>
      <c r="K69" s="52">
        <v>318</v>
      </c>
      <c r="L69" s="52">
        <f t="shared" ref="L69:L132" si="14">K69-J69</f>
        <v>115</v>
      </c>
      <c r="M69" s="52">
        <f t="shared" ref="M69:M132" si="15">H69-J69</f>
        <v>43</v>
      </c>
      <c r="N69" s="55">
        <f t="shared" ref="N69:N132" si="16">($K$2*(M69))/L69+0.1</f>
        <v>0.39913043478260868</v>
      </c>
      <c r="O69" s="56">
        <f t="shared" ref="O69:O132" si="17">I69</f>
        <v>0.15890399999999999</v>
      </c>
      <c r="V69" s="54">
        <f t="shared" ref="V69:V132" si="18">J69</f>
        <v>203</v>
      </c>
      <c r="W69" s="52">
        <f t="shared" ref="W69:W132" si="19">1.25*L69</f>
        <v>143.75</v>
      </c>
      <c r="X69" s="52">
        <f t="shared" ref="X69:X132" si="20">V69-(L69)/8</f>
        <v>188.625</v>
      </c>
      <c r="Y69" s="55">
        <f t="shared" ref="Y69:Y132" si="21">1.25*L69/(2*$R$2)</f>
        <v>-90.820065706343186</v>
      </c>
      <c r="Z69" s="55">
        <f t="shared" ref="Z69:Z132" si="22">(($R$2*X69)/W69-$S$2)*Y69</f>
        <v>171.56404788981553</v>
      </c>
      <c r="AA69" s="55">
        <f t="shared" ref="AA69:AA132" si="23">IF(Z69&gt;V69,Z69,V69)</f>
        <v>203</v>
      </c>
      <c r="AB69" s="52">
        <f t="shared" ref="AB69:AB132" si="24">(AA69-X69)/W69</f>
        <v>0.1</v>
      </c>
      <c r="AC69" s="52">
        <f t="shared" ref="AC69:AC132" si="25">$R$2*AB69+$S$2</f>
        <v>0.77146000000000003</v>
      </c>
      <c r="AD69" s="52">
        <f t="shared" ref="AD69:AD132" si="26">AA69*AC69</f>
        <v>156.60638</v>
      </c>
      <c r="AE69" s="62">
        <f t="shared" ref="AE69:AE132" si="27">AD69*(1-$U$1)</f>
        <v>109.624466</v>
      </c>
    </row>
    <row r="70" spans="1:31" x14ac:dyDescent="0.3">
      <c r="A70" t="s">
        <v>146</v>
      </c>
      <c r="B70" t="s">
        <v>144</v>
      </c>
      <c r="C70" t="s">
        <v>70</v>
      </c>
      <c r="D70">
        <v>1</v>
      </c>
      <c r="E70" s="52">
        <v>1400</v>
      </c>
      <c r="F70" s="53">
        <v>0.54520499999999994</v>
      </c>
      <c r="G70" s="54">
        <v>9159.4439999999995</v>
      </c>
      <c r="H70" s="52">
        <v>325</v>
      </c>
      <c r="I70" s="53">
        <v>0.54520499999999994</v>
      </c>
      <c r="J70" s="52">
        <v>287</v>
      </c>
      <c r="K70" s="52">
        <v>395</v>
      </c>
      <c r="L70" s="52">
        <f t="shared" si="14"/>
        <v>108</v>
      </c>
      <c r="M70" s="52">
        <f t="shared" si="15"/>
        <v>38</v>
      </c>
      <c r="N70" s="55">
        <f t="shared" si="16"/>
        <v>0.38148148148148153</v>
      </c>
      <c r="O70" s="56">
        <f t="shared" si="17"/>
        <v>0.54520499999999994</v>
      </c>
      <c r="V70" s="54">
        <f t="shared" si="18"/>
        <v>287</v>
      </c>
      <c r="W70" s="52">
        <f t="shared" si="19"/>
        <v>135</v>
      </c>
      <c r="X70" s="52">
        <f t="shared" si="20"/>
        <v>273.5</v>
      </c>
      <c r="Y70" s="55">
        <f t="shared" si="21"/>
        <v>-85.291887793783175</v>
      </c>
      <c r="Z70" s="55">
        <f t="shared" si="22"/>
        <v>209.29927975739199</v>
      </c>
      <c r="AA70" s="55">
        <f t="shared" si="23"/>
        <v>287</v>
      </c>
      <c r="AB70" s="52">
        <f t="shared" si="24"/>
        <v>0.1</v>
      </c>
      <c r="AC70" s="52">
        <f t="shared" si="25"/>
        <v>0.77146000000000003</v>
      </c>
      <c r="AD70" s="52">
        <f t="shared" si="26"/>
        <v>221.40902</v>
      </c>
      <c r="AE70" s="62">
        <f t="shared" si="27"/>
        <v>154.98631399999999</v>
      </c>
    </row>
    <row r="71" spans="1:31" x14ac:dyDescent="0.3">
      <c r="A71" t="s">
        <v>147</v>
      </c>
      <c r="B71" t="s">
        <v>107</v>
      </c>
      <c r="C71" t="s">
        <v>61</v>
      </c>
      <c r="D71">
        <v>1</v>
      </c>
      <c r="E71" s="52">
        <v>750</v>
      </c>
      <c r="F71" s="53">
        <v>0.47945199999999999</v>
      </c>
      <c r="G71" s="54">
        <v>4315.0680000000002</v>
      </c>
      <c r="H71" s="52">
        <v>94</v>
      </c>
      <c r="I71" s="53">
        <v>0.47945199999999999</v>
      </c>
      <c r="J71" s="52">
        <v>51</v>
      </c>
      <c r="K71" s="52">
        <v>179</v>
      </c>
      <c r="L71" s="52">
        <f t="shared" si="14"/>
        <v>128</v>
      </c>
      <c r="M71" s="52">
        <f t="shared" si="15"/>
        <v>43</v>
      </c>
      <c r="N71" s="55">
        <f t="shared" si="16"/>
        <v>0.36875000000000002</v>
      </c>
      <c r="O71" s="56">
        <f t="shared" si="17"/>
        <v>0.47945199999999999</v>
      </c>
      <c r="V71" s="54">
        <f t="shared" si="18"/>
        <v>51</v>
      </c>
      <c r="W71" s="52">
        <f t="shared" si="19"/>
        <v>160</v>
      </c>
      <c r="X71" s="52">
        <f t="shared" si="20"/>
        <v>35</v>
      </c>
      <c r="Y71" s="55">
        <f t="shared" si="21"/>
        <v>-101.08668182966895</v>
      </c>
      <c r="Z71" s="55">
        <f t="shared" si="22"/>
        <v>103.48433156431641</v>
      </c>
      <c r="AA71" s="55">
        <f t="shared" si="23"/>
        <v>103.48433156431641</v>
      </c>
      <c r="AB71" s="52">
        <f t="shared" si="24"/>
        <v>0.42802707227697756</v>
      </c>
      <c r="AC71" s="52">
        <f t="shared" si="25"/>
        <v>0.51185937500000001</v>
      </c>
      <c r="AD71" s="52">
        <f t="shared" si="26"/>
        <v>52.969425276803769</v>
      </c>
      <c r="AE71" s="62">
        <f t="shared" si="27"/>
        <v>37.078597693762639</v>
      </c>
    </row>
    <row r="72" spans="1:31" x14ac:dyDescent="0.3">
      <c r="A72" t="s">
        <v>148</v>
      </c>
      <c r="B72" t="s">
        <v>144</v>
      </c>
      <c r="C72" t="s">
        <v>70</v>
      </c>
      <c r="D72">
        <v>2</v>
      </c>
      <c r="E72" s="52">
        <v>1900</v>
      </c>
      <c r="F72" s="53">
        <v>0.58630099999999996</v>
      </c>
      <c r="G72" s="54">
        <v>13367.662799999998</v>
      </c>
      <c r="H72" s="52">
        <v>428</v>
      </c>
      <c r="I72" s="53">
        <v>0.58630099999999996</v>
      </c>
      <c r="J72" s="52">
        <v>376</v>
      </c>
      <c r="K72" s="52">
        <v>502</v>
      </c>
      <c r="L72" s="52">
        <f t="shared" si="14"/>
        <v>126</v>
      </c>
      <c r="M72" s="52">
        <f t="shared" si="15"/>
        <v>52</v>
      </c>
      <c r="N72" s="55">
        <f t="shared" si="16"/>
        <v>0.43015873015873018</v>
      </c>
      <c r="O72" s="56">
        <f t="shared" si="17"/>
        <v>0.58630099999999996</v>
      </c>
      <c r="V72" s="54">
        <f t="shared" si="18"/>
        <v>376</v>
      </c>
      <c r="W72" s="52">
        <f t="shared" si="19"/>
        <v>157.5</v>
      </c>
      <c r="X72" s="52">
        <f t="shared" si="20"/>
        <v>360.25</v>
      </c>
      <c r="Y72" s="55">
        <f t="shared" si="21"/>
        <v>-99.507202426080369</v>
      </c>
      <c r="Z72" s="55">
        <f t="shared" si="22"/>
        <v>264.76582638362396</v>
      </c>
      <c r="AA72" s="55">
        <f t="shared" si="23"/>
        <v>376</v>
      </c>
      <c r="AB72" s="52">
        <f t="shared" si="24"/>
        <v>0.1</v>
      </c>
      <c r="AC72" s="52">
        <f t="shared" si="25"/>
        <v>0.77146000000000003</v>
      </c>
      <c r="AD72" s="52">
        <f t="shared" si="26"/>
        <v>290.06896</v>
      </c>
      <c r="AE72" s="62">
        <f t="shared" si="27"/>
        <v>203.048272</v>
      </c>
    </row>
    <row r="73" spans="1:31" x14ac:dyDescent="0.3">
      <c r="A73" t="s">
        <v>149</v>
      </c>
      <c r="B73" t="s">
        <v>150</v>
      </c>
      <c r="C73" t="s">
        <v>61</v>
      </c>
      <c r="D73">
        <v>1</v>
      </c>
      <c r="E73" s="52">
        <v>1600</v>
      </c>
      <c r="F73" s="53">
        <v>0.67945199999999994</v>
      </c>
      <c r="G73" s="54">
        <v>13045.478399999998</v>
      </c>
      <c r="H73" s="52">
        <v>188</v>
      </c>
      <c r="I73" s="53">
        <v>0.67945199999999994</v>
      </c>
      <c r="J73" s="52">
        <v>126</v>
      </c>
      <c r="K73" s="52">
        <v>352</v>
      </c>
      <c r="L73" s="52">
        <f t="shared" si="14"/>
        <v>226</v>
      </c>
      <c r="M73" s="52">
        <f t="shared" si="15"/>
        <v>62</v>
      </c>
      <c r="N73" s="55">
        <f t="shared" si="16"/>
        <v>0.3194690265486726</v>
      </c>
      <c r="O73" s="56">
        <f t="shared" si="17"/>
        <v>0.67945199999999994</v>
      </c>
      <c r="V73" s="54">
        <f t="shared" si="18"/>
        <v>126</v>
      </c>
      <c r="W73" s="52">
        <f t="shared" si="19"/>
        <v>282.5</v>
      </c>
      <c r="X73" s="52">
        <f t="shared" si="20"/>
        <v>97.75</v>
      </c>
      <c r="Y73" s="55">
        <f t="shared" si="21"/>
        <v>-178.48117260550922</v>
      </c>
      <c r="Z73" s="55">
        <f t="shared" si="22"/>
        <v>200.69108541824613</v>
      </c>
      <c r="AA73" s="55">
        <f t="shared" si="23"/>
        <v>200.69108541824613</v>
      </c>
      <c r="AB73" s="52">
        <f t="shared" si="24"/>
        <v>0.36439322271945535</v>
      </c>
      <c r="AC73" s="52">
        <f t="shared" si="25"/>
        <v>0.56221920353982302</v>
      </c>
      <c r="AD73" s="52">
        <f t="shared" si="26"/>
        <v>112.83238220138892</v>
      </c>
      <c r="AE73" s="62">
        <f t="shared" si="27"/>
        <v>78.982667540972244</v>
      </c>
    </row>
    <row r="74" spans="1:31" x14ac:dyDescent="0.3">
      <c r="A74" t="s">
        <v>151</v>
      </c>
      <c r="B74" t="s">
        <v>150</v>
      </c>
      <c r="C74" t="s">
        <v>61</v>
      </c>
      <c r="D74">
        <v>2</v>
      </c>
      <c r="E74" s="52">
        <v>2200</v>
      </c>
      <c r="F74" s="53">
        <v>0.57808199999999998</v>
      </c>
      <c r="G74" s="54">
        <v>15261.364799999999</v>
      </c>
      <c r="H74" s="52">
        <v>274</v>
      </c>
      <c r="I74" s="53">
        <v>0.57808199999999998</v>
      </c>
      <c r="J74" s="52">
        <v>119</v>
      </c>
      <c r="K74" s="52">
        <v>505</v>
      </c>
      <c r="L74" s="52">
        <f t="shared" si="14"/>
        <v>386</v>
      </c>
      <c r="M74" s="52">
        <f t="shared" si="15"/>
        <v>155</v>
      </c>
      <c r="N74" s="55">
        <f t="shared" si="16"/>
        <v>0.42124352331606219</v>
      </c>
      <c r="O74" s="56">
        <f t="shared" si="17"/>
        <v>0.57808199999999998</v>
      </c>
      <c r="V74" s="54">
        <f t="shared" si="18"/>
        <v>119</v>
      </c>
      <c r="W74" s="52">
        <f t="shared" si="19"/>
        <v>482.5</v>
      </c>
      <c r="X74" s="52">
        <f t="shared" si="20"/>
        <v>70.75</v>
      </c>
      <c r="Y74" s="55">
        <f t="shared" si="21"/>
        <v>-304.83952489259542</v>
      </c>
      <c r="Z74" s="55">
        <f t="shared" si="22"/>
        <v>294.67149987364166</v>
      </c>
      <c r="AA74" s="55">
        <f t="shared" si="23"/>
        <v>294.67149987364166</v>
      </c>
      <c r="AB74" s="52">
        <f t="shared" si="24"/>
        <v>0.46408601010081174</v>
      </c>
      <c r="AC74" s="52">
        <f t="shared" si="25"/>
        <v>0.48332233160621763</v>
      </c>
      <c r="AD74" s="52">
        <f t="shared" si="26"/>
        <v>142.42131637682976</v>
      </c>
      <c r="AE74" s="62">
        <f t="shared" si="27"/>
        <v>99.69492146378083</v>
      </c>
    </row>
    <row r="75" spans="1:31" x14ac:dyDescent="0.3">
      <c r="A75" t="s">
        <v>152</v>
      </c>
      <c r="B75" t="s">
        <v>150</v>
      </c>
      <c r="C75" t="s">
        <v>70</v>
      </c>
      <c r="D75">
        <v>1</v>
      </c>
      <c r="E75" s="52">
        <v>1500</v>
      </c>
      <c r="F75" s="53">
        <v>0.41095900000000002</v>
      </c>
      <c r="G75" s="54">
        <v>7397.2620000000006</v>
      </c>
      <c r="H75" s="52">
        <v>860</v>
      </c>
      <c r="I75" s="53">
        <v>0.41095900000000002</v>
      </c>
      <c r="J75" s="52">
        <v>486</v>
      </c>
      <c r="K75" s="52">
        <v>1215</v>
      </c>
      <c r="L75" s="52">
        <f t="shared" si="14"/>
        <v>729</v>
      </c>
      <c r="M75" s="52">
        <f t="shared" si="15"/>
        <v>374</v>
      </c>
      <c r="N75" s="55">
        <f t="shared" si="16"/>
        <v>0.51042524005486967</v>
      </c>
      <c r="O75" s="56">
        <f t="shared" si="17"/>
        <v>0.41095900000000002</v>
      </c>
      <c r="V75" s="54">
        <f t="shared" si="18"/>
        <v>486</v>
      </c>
      <c r="W75" s="52">
        <f t="shared" si="19"/>
        <v>911.25</v>
      </c>
      <c r="X75" s="52">
        <f t="shared" si="20"/>
        <v>394.875</v>
      </c>
      <c r="Y75" s="55">
        <f t="shared" si="21"/>
        <v>-575.72024260803641</v>
      </c>
      <c r="Z75" s="55">
        <f t="shared" si="22"/>
        <v>687.14513836239576</v>
      </c>
      <c r="AA75" s="55">
        <f t="shared" si="23"/>
        <v>687.14513836239576</v>
      </c>
      <c r="AB75" s="52">
        <f t="shared" si="24"/>
        <v>0.32073540561031083</v>
      </c>
      <c r="AC75" s="52">
        <f t="shared" si="25"/>
        <v>0.59677000000000002</v>
      </c>
      <c r="AD75" s="52">
        <f t="shared" si="26"/>
        <v>410.0676042205269</v>
      </c>
      <c r="AE75" s="62">
        <f t="shared" si="27"/>
        <v>287.04732295436884</v>
      </c>
    </row>
    <row r="76" spans="1:31" x14ac:dyDescent="0.3">
      <c r="A76" t="s">
        <v>153</v>
      </c>
      <c r="B76" t="s">
        <v>150</v>
      </c>
      <c r="C76" t="s">
        <v>70</v>
      </c>
      <c r="D76">
        <v>2</v>
      </c>
      <c r="E76" s="52">
        <v>2400</v>
      </c>
      <c r="F76" s="53">
        <v>0.68219200000000002</v>
      </c>
      <c r="G76" s="54">
        <v>19647.1296</v>
      </c>
      <c r="H76" s="52">
        <v>729</v>
      </c>
      <c r="I76" s="53">
        <v>0.68219200000000002</v>
      </c>
      <c r="J76" s="52">
        <v>516</v>
      </c>
      <c r="K76" s="52">
        <v>1650</v>
      </c>
      <c r="L76" s="52">
        <f t="shared" si="14"/>
        <v>1134</v>
      </c>
      <c r="M76" s="52">
        <f t="shared" si="15"/>
        <v>213</v>
      </c>
      <c r="N76" s="55">
        <f t="shared" si="16"/>
        <v>0.2502645502645503</v>
      </c>
      <c r="O76" s="56">
        <f t="shared" si="17"/>
        <v>0.68219200000000002</v>
      </c>
      <c r="V76" s="54">
        <f t="shared" si="18"/>
        <v>516</v>
      </c>
      <c r="W76" s="52">
        <f t="shared" si="19"/>
        <v>1417.5</v>
      </c>
      <c r="X76" s="52">
        <f t="shared" si="20"/>
        <v>374.25</v>
      </c>
      <c r="Y76" s="55">
        <f t="shared" si="21"/>
        <v>-895.56482183472326</v>
      </c>
      <c r="Z76" s="55">
        <f t="shared" si="22"/>
        <v>948.8924374526157</v>
      </c>
      <c r="AA76" s="55">
        <f t="shared" si="23"/>
        <v>948.8924374526157</v>
      </c>
      <c r="AB76" s="52">
        <f t="shared" si="24"/>
        <v>0.40539149026639554</v>
      </c>
      <c r="AC76" s="52">
        <f t="shared" si="25"/>
        <v>0.52977317460317463</v>
      </c>
      <c r="AD76" s="52">
        <f t="shared" si="26"/>
        <v>502.69775894621654</v>
      </c>
      <c r="AE76" s="62">
        <f t="shared" si="27"/>
        <v>351.88843126235156</v>
      </c>
    </row>
    <row r="77" spans="1:31" x14ac:dyDescent="0.3">
      <c r="A77" t="s">
        <v>154</v>
      </c>
      <c r="B77" t="s">
        <v>155</v>
      </c>
      <c r="C77" t="s">
        <v>61</v>
      </c>
      <c r="D77">
        <v>1</v>
      </c>
      <c r="E77" s="52">
        <v>1600</v>
      </c>
      <c r="F77" s="53">
        <v>0.824658</v>
      </c>
      <c r="G77" s="54">
        <v>15833.4336</v>
      </c>
      <c r="H77" s="52">
        <v>174</v>
      </c>
      <c r="I77" s="53">
        <v>0.824658</v>
      </c>
      <c r="J77" s="52">
        <v>160</v>
      </c>
      <c r="K77" s="52">
        <v>321</v>
      </c>
      <c r="L77" s="52">
        <f t="shared" si="14"/>
        <v>161</v>
      </c>
      <c r="M77" s="52">
        <f t="shared" si="15"/>
        <v>14</v>
      </c>
      <c r="N77" s="55">
        <f t="shared" si="16"/>
        <v>0.16956521739130437</v>
      </c>
      <c r="O77" s="56">
        <f t="shared" si="17"/>
        <v>0.824658</v>
      </c>
      <c r="V77" s="54">
        <f t="shared" si="18"/>
        <v>160</v>
      </c>
      <c r="W77" s="52">
        <f t="shared" si="19"/>
        <v>201.25</v>
      </c>
      <c r="X77" s="52">
        <f t="shared" si="20"/>
        <v>139.875</v>
      </c>
      <c r="Y77" s="55">
        <f t="shared" si="21"/>
        <v>-127.14809198888047</v>
      </c>
      <c r="Z77" s="55">
        <f t="shared" si="22"/>
        <v>178.08966704574172</v>
      </c>
      <c r="AA77" s="55">
        <f t="shared" si="23"/>
        <v>178.08966704574172</v>
      </c>
      <c r="AB77" s="52">
        <f t="shared" si="24"/>
        <v>0.18988654432666693</v>
      </c>
      <c r="AC77" s="52">
        <f t="shared" si="25"/>
        <v>0.70032378881987578</v>
      </c>
      <c r="AD77" s="52">
        <f t="shared" si="26"/>
        <v>124.72043037514402</v>
      </c>
      <c r="AE77" s="62">
        <f t="shared" si="27"/>
        <v>87.304301262600802</v>
      </c>
    </row>
    <row r="78" spans="1:31" x14ac:dyDescent="0.3">
      <c r="A78" t="s">
        <v>156</v>
      </c>
      <c r="B78" t="s">
        <v>155</v>
      </c>
      <c r="C78" t="s">
        <v>61</v>
      </c>
      <c r="D78">
        <v>2</v>
      </c>
      <c r="E78" s="52">
        <v>1900</v>
      </c>
      <c r="F78" s="53">
        <v>0.21643799999999999</v>
      </c>
      <c r="G78" s="54">
        <v>4934.7864</v>
      </c>
      <c r="H78" s="52">
        <v>308</v>
      </c>
      <c r="I78" s="53">
        <v>0.21643799999999999</v>
      </c>
      <c r="J78" s="52">
        <v>168</v>
      </c>
      <c r="K78" s="52">
        <v>364</v>
      </c>
      <c r="L78" s="52">
        <f t="shared" si="14"/>
        <v>196</v>
      </c>
      <c r="M78" s="52">
        <f t="shared" si="15"/>
        <v>140</v>
      </c>
      <c r="N78" s="55">
        <f t="shared" si="16"/>
        <v>0.67142857142857137</v>
      </c>
      <c r="O78" s="56">
        <f t="shared" si="17"/>
        <v>0.21643799999999999</v>
      </c>
      <c r="V78" s="54">
        <f t="shared" si="18"/>
        <v>168</v>
      </c>
      <c r="W78" s="52">
        <f t="shared" si="19"/>
        <v>245</v>
      </c>
      <c r="X78" s="52">
        <f t="shared" si="20"/>
        <v>143.5</v>
      </c>
      <c r="Y78" s="55">
        <f t="shared" si="21"/>
        <v>-154.78898155168056</v>
      </c>
      <c r="Z78" s="55">
        <f t="shared" si="22"/>
        <v>203.41350770785948</v>
      </c>
      <c r="AA78" s="55">
        <f t="shared" si="23"/>
        <v>203.41350770785948</v>
      </c>
      <c r="AB78" s="52">
        <f t="shared" si="24"/>
        <v>0.24454492941983461</v>
      </c>
      <c r="AC78" s="52">
        <f t="shared" si="25"/>
        <v>0.65706714285714285</v>
      </c>
      <c r="AD78" s="52">
        <f t="shared" si="26"/>
        <v>133.65633232815264</v>
      </c>
      <c r="AE78" s="62">
        <f t="shared" si="27"/>
        <v>93.559432629706848</v>
      </c>
    </row>
    <row r="79" spans="1:31" x14ac:dyDescent="0.3">
      <c r="A79" t="s">
        <v>157</v>
      </c>
      <c r="B79" t="s">
        <v>155</v>
      </c>
      <c r="C79" t="s">
        <v>70</v>
      </c>
      <c r="D79">
        <v>1</v>
      </c>
      <c r="E79" s="52">
        <v>1400</v>
      </c>
      <c r="F79" s="53">
        <v>0.6</v>
      </c>
      <c r="G79" s="54">
        <v>10080</v>
      </c>
      <c r="H79" s="52">
        <v>308</v>
      </c>
      <c r="I79" s="53">
        <v>0.6</v>
      </c>
      <c r="J79" s="52">
        <v>226</v>
      </c>
      <c r="K79" s="52">
        <v>368</v>
      </c>
      <c r="L79" s="52">
        <f t="shared" si="14"/>
        <v>142</v>
      </c>
      <c r="M79" s="52">
        <f t="shared" si="15"/>
        <v>82</v>
      </c>
      <c r="N79" s="55">
        <f t="shared" si="16"/>
        <v>0.56197183098591552</v>
      </c>
      <c r="O79" s="56">
        <f t="shared" si="17"/>
        <v>0.6</v>
      </c>
      <c r="V79" s="54">
        <f t="shared" si="18"/>
        <v>226</v>
      </c>
      <c r="W79" s="52">
        <f t="shared" si="19"/>
        <v>177.5</v>
      </c>
      <c r="X79" s="52">
        <f t="shared" si="20"/>
        <v>208.25</v>
      </c>
      <c r="Y79" s="55">
        <f t="shared" si="21"/>
        <v>-112.14303765478898</v>
      </c>
      <c r="Z79" s="55">
        <f t="shared" si="22"/>
        <v>199.5138678291635</v>
      </c>
      <c r="AA79" s="55">
        <f t="shared" si="23"/>
        <v>226</v>
      </c>
      <c r="AB79" s="52">
        <f t="shared" si="24"/>
        <v>0.1</v>
      </c>
      <c r="AC79" s="52">
        <f t="shared" si="25"/>
        <v>0.77146000000000003</v>
      </c>
      <c r="AD79" s="52">
        <f t="shared" si="26"/>
        <v>174.34996000000001</v>
      </c>
      <c r="AE79" s="62">
        <f t="shared" si="27"/>
        <v>122.044972</v>
      </c>
    </row>
    <row r="80" spans="1:31" x14ac:dyDescent="0.3">
      <c r="A80" t="s">
        <v>158</v>
      </c>
      <c r="B80" t="s">
        <v>155</v>
      </c>
      <c r="C80" t="s">
        <v>70</v>
      </c>
      <c r="D80">
        <v>2</v>
      </c>
      <c r="E80" s="52">
        <v>2000</v>
      </c>
      <c r="F80" s="53">
        <v>0.39178099999999999</v>
      </c>
      <c r="G80" s="54">
        <v>9402.7440000000006</v>
      </c>
      <c r="H80" s="52">
        <v>342</v>
      </c>
      <c r="I80" s="53">
        <v>0.39178099999999999</v>
      </c>
      <c r="J80" s="52">
        <v>285</v>
      </c>
      <c r="K80" s="52">
        <v>428</v>
      </c>
      <c r="L80" s="52">
        <f t="shared" si="14"/>
        <v>143</v>
      </c>
      <c r="M80" s="52">
        <f t="shared" si="15"/>
        <v>57</v>
      </c>
      <c r="N80" s="55">
        <f t="shared" si="16"/>
        <v>0.4188811188811189</v>
      </c>
      <c r="O80" s="56">
        <f t="shared" si="17"/>
        <v>0.39178099999999999</v>
      </c>
      <c r="V80" s="54">
        <f t="shared" si="18"/>
        <v>285</v>
      </c>
      <c r="W80" s="52">
        <f t="shared" si="19"/>
        <v>178.75</v>
      </c>
      <c r="X80" s="52">
        <f t="shared" si="20"/>
        <v>267.125</v>
      </c>
      <c r="Y80" s="55">
        <f t="shared" si="21"/>
        <v>-112.93277735658327</v>
      </c>
      <c r="Z80" s="55">
        <f t="shared" si="22"/>
        <v>229.62312041950972</v>
      </c>
      <c r="AA80" s="55">
        <f t="shared" si="23"/>
        <v>285</v>
      </c>
      <c r="AB80" s="52">
        <f t="shared" si="24"/>
        <v>0.1</v>
      </c>
      <c r="AC80" s="52">
        <f t="shared" si="25"/>
        <v>0.77146000000000003</v>
      </c>
      <c r="AD80" s="52">
        <f t="shared" si="26"/>
        <v>219.86610000000002</v>
      </c>
      <c r="AE80" s="62">
        <f t="shared" si="27"/>
        <v>153.90627000000001</v>
      </c>
    </row>
    <row r="81" spans="1:31" x14ac:dyDescent="0.3">
      <c r="A81" t="s">
        <v>159</v>
      </c>
      <c r="B81" t="s">
        <v>160</v>
      </c>
      <c r="C81" t="s">
        <v>61</v>
      </c>
      <c r="D81">
        <v>1</v>
      </c>
      <c r="E81" s="52">
        <v>1000</v>
      </c>
      <c r="F81" s="53">
        <v>0.58904100000000004</v>
      </c>
      <c r="G81" s="54">
        <v>7068.4920000000002</v>
      </c>
      <c r="H81" s="52">
        <v>229</v>
      </c>
      <c r="I81" s="53">
        <v>0.58904100000000004</v>
      </c>
      <c r="J81" s="52">
        <v>91</v>
      </c>
      <c r="K81" s="52">
        <v>342</v>
      </c>
      <c r="L81" s="52">
        <f t="shared" si="14"/>
        <v>251</v>
      </c>
      <c r="M81" s="52">
        <f t="shared" si="15"/>
        <v>138</v>
      </c>
      <c r="N81" s="55">
        <f t="shared" si="16"/>
        <v>0.53984063745019928</v>
      </c>
      <c r="O81" s="56">
        <f t="shared" si="17"/>
        <v>0.58904100000000004</v>
      </c>
      <c r="V81" s="54">
        <f t="shared" si="18"/>
        <v>91</v>
      </c>
      <c r="W81" s="52">
        <f t="shared" si="19"/>
        <v>313.75</v>
      </c>
      <c r="X81" s="52">
        <f t="shared" si="20"/>
        <v>59.625</v>
      </c>
      <c r="Y81" s="55">
        <f t="shared" si="21"/>
        <v>-198.22466515036643</v>
      </c>
      <c r="Z81" s="55">
        <f t="shared" si="22"/>
        <v>198.42240017690168</v>
      </c>
      <c r="AA81" s="55">
        <f t="shared" si="23"/>
        <v>198.42240017690168</v>
      </c>
      <c r="AB81" s="52">
        <f t="shared" si="24"/>
        <v>0.44238215195825237</v>
      </c>
      <c r="AC81" s="52">
        <f t="shared" si="25"/>
        <v>0.50049876494023904</v>
      </c>
      <c r="AD81" s="52">
        <f t="shared" si="26"/>
        <v>99.310166225017156</v>
      </c>
      <c r="AE81" s="62">
        <f t="shared" si="27"/>
        <v>69.517116357512009</v>
      </c>
    </row>
    <row r="82" spans="1:31" x14ac:dyDescent="0.3">
      <c r="A82" t="s">
        <v>161</v>
      </c>
      <c r="B82" t="s">
        <v>162</v>
      </c>
      <c r="C82" t="s">
        <v>61</v>
      </c>
      <c r="D82">
        <v>2</v>
      </c>
      <c r="E82" s="52">
        <v>2500</v>
      </c>
      <c r="F82" s="53">
        <v>0.29315099999999999</v>
      </c>
      <c r="G82" s="54">
        <v>8794.5300000000007</v>
      </c>
      <c r="H82" s="52">
        <v>392</v>
      </c>
      <c r="I82" s="53">
        <v>0.29315099999999999</v>
      </c>
      <c r="J82" s="52">
        <v>173</v>
      </c>
      <c r="K82" s="52">
        <v>581</v>
      </c>
      <c r="L82" s="52">
        <f t="shared" si="14"/>
        <v>408</v>
      </c>
      <c r="M82" s="52">
        <f t="shared" si="15"/>
        <v>219</v>
      </c>
      <c r="N82" s="55">
        <f t="shared" si="16"/>
        <v>0.52941176470588236</v>
      </c>
      <c r="O82" s="56">
        <f t="shared" si="17"/>
        <v>0.29315099999999999</v>
      </c>
      <c r="V82" s="54">
        <f t="shared" si="18"/>
        <v>173</v>
      </c>
      <c r="W82" s="52">
        <f t="shared" si="19"/>
        <v>510</v>
      </c>
      <c r="X82" s="52">
        <f t="shared" si="20"/>
        <v>122</v>
      </c>
      <c r="Y82" s="55">
        <f t="shared" si="21"/>
        <v>-322.21379833206976</v>
      </c>
      <c r="Z82" s="55">
        <f t="shared" si="22"/>
        <v>335.07505686125853</v>
      </c>
      <c r="AA82" s="55">
        <f t="shared" si="23"/>
        <v>335.07505686125853</v>
      </c>
      <c r="AB82" s="52">
        <f t="shared" si="24"/>
        <v>0.41779422913972258</v>
      </c>
      <c r="AC82" s="52">
        <f t="shared" si="25"/>
        <v>0.51995764705882364</v>
      </c>
      <c r="AD82" s="52">
        <f t="shared" si="26"/>
        <v>174.22483815368153</v>
      </c>
      <c r="AE82" s="62">
        <f t="shared" si="27"/>
        <v>121.95738670757706</v>
      </c>
    </row>
    <row r="83" spans="1:31" x14ac:dyDescent="0.3">
      <c r="A83" t="s">
        <v>163</v>
      </c>
      <c r="B83" t="s">
        <v>160</v>
      </c>
      <c r="C83" t="s">
        <v>61</v>
      </c>
      <c r="D83">
        <v>2</v>
      </c>
      <c r="E83" s="52">
        <v>1400</v>
      </c>
      <c r="F83" s="53">
        <v>0.271233</v>
      </c>
      <c r="G83" s="54">
        <v>4556.7143999999998</v>
      </c>
      <c r="H83" s="52">
        <v>322</v>
      </c>
      <c r="I83" s="53">
        <v>0.271233</v>
      </c>
      <c r="J83" s="52">
        <v>168</v>
      </c>
      <c r="K83" s="52">
        <v>392</v>
      </c>
      <c r="L83" s="52">
        <f t="shared" si="14"/>
        <v>224</v>
      </c>
      <c r="M83" s="52">
        <f t="shared" si="15"/>
        <v>154</v>
      </c>
      <c r="N83" s="55">
        <f t="shared" si="16"/>
        <v>0.65</v>
      </c>
      <c r="O83" s="56">
        <f t="shared" si="17"/>
        <v>0.271233</v>
      </c>
      <c r="V83" s="54">
        <f t="shared" si="18"/>
        <v>168</v>
      </c>
      <c r="W83" s="52">
        <f t="shared" si="19"/>
        <v>280</v>
      </c>
      <c r="X83" s="52">
        <f t="shared" si="20"/>
        <v>140</v>
      </c>
      <c r="Y83" s="55">
        <f t="shared" si="21"/>
        <v>-176.90169320192064</v>
      </c>
      <c r="Z83" s="55">
        <f t="shared" si="22"/>
        <v>220.47258023755367</v>
      </c>
      <c r="AA83" s="55">
        <f t="shared" si="23"/>
        <v>220.47258023755367</v>
      </c>
      <c r="AB83" s="52">
        <f t="shared" si="24"/>
        <v>0.28740207227697739</v>
      </c>
      <c r="AC83" s="52">
        <f t="shared" si="25"/>
        <v>0.62315000000000009</v>
      </c>
      <c r="AD83" s="52">
        <f t="shared" si="26"/>
        <v>137.38748837503158</v>
      </c>
      <c r="AE83" s="62">
        <f t="shared" si="27"/>
        <v>96.171241862522095</v>
      </c>
    </row>
    <row r="84" spans="1:31" x14ac:dyDescent="0.3">
      <c r="A84" t="s">
        <v>164</v>
      </c>
      <c r="B84" t="s">
        <v>160</v>
      </c>
      <c r="C84" t="s">
        <v>70</v>
      </c>
      <c r="D84">
        <v>1</v>
      </c>
      <c r="E84" s="52">
        <v>1300</v>
      </c>
      <c r="F84" s="53">
        <v>0.55068499999999998</v>
      </c>
      <c r="G84" s="54">
        <v>8590.6859999999997</v>
      </c>
      <c r="H84" s="52">
        <v>257</v>
      </c>
      <c r="I84" s="53">
        <v>0.55068499999999998</v>
      </c>
      <c r="J84" s="52">
        <v>155</v>
      </c>
      <c r="K84" s="52">
        <v>494</v>
      </c>
      <c r="L84" s="52">
        <f t="shared" si="14"/>
        <v>339</v>
      </c>
      <c r="M84" s="52">
        <f t="shared" si="15"/>
        <v>102</v>
      </c>
      <c r="N84" s="55">
        <f t="shared" si="16"/>
        <v>0.34070796460176994</v>
      </c>
      <c r="O84" s="56">
        <f t="shared" si="17"/>
        <v>0.55068499999999998</v>
      </c>
      <c r="V84" s="54">
        <f t="shared" si="18"/>
        <v>155</v>
      </c>
      <c r="W84" s="52">
        <f t="shared" si="19"/>
        <v>423.75</v>
      </c>
      <c r="X84" s="52">
        <f t="shared" si="20"/>
        <v>112.625</v>
      </c>
      <c r="Y84" s="55">
        <f t="shared" si="21"/>
        <v>-267.72175890826384</v>
      </c>
      <c r="Z84" s="55">
        <f t="shared" si="22"/>
        <v>284.03662812736923</v>
      </c>
      <c r="AA84" s="55">
        <f t="shared" si="23"/>
        <v>284.03662812736923</v>
      </c>
      <c r="AB84" s="52">
        <f t="shared" si="24"/>
        <v>0.40451121681975039</v>
      </c>
      <c r="AC84" s="52">
        <f t="shared" si="25"/>
        <v>0.53046982300884959</v>
      </c>
      <c r="AD84" s="52">
        <f t="shared" si="26"/>
        <v>150.672859850756</v>
      </c>
      <c r="AE84" s="62">
        <f t="shared" si="27"/>
        <v>105.4710018955292</v>
      </c>
    </row>
    <row r="85" spans="1:31" x14ac:dyDescent="0.3">
      <c r="A85" t="s">
        <v>165</v>
      </c>
      <c r="B85" t="s">
        <v>160</v>
      </c>
      <c r="C85" t="s">
        <v>70</v>
      </c>
      <c r="D85">
        <v>2</v>
      </c>
      <c r="E85" s="52">
        <v>1800</v>
      </c>
      <c r="F85" s="53">
        <v>0.45205499999999998</v>
      </c>
      <c r="G85" s="54">
        <v>9764.387999999999</v>
      </c>
      <c r="H85" s="52">
        <v>286</v>
      </c>
      <c r="I85" s="53">
        <v>0.45205499999999998</v>
      </c>
      <c r="J85" s="52">
        <v>151</v>
      </c>
      <c r="K85" s="52">
        <v>391</v>
      </c>
      <c r="L85" s="52">
        <f t="shared" si="14"/>
        <v>240</v>
      </c>
      <c r="M85" s="52">
        <f t="shared" si="15"/>
        <v>135</v>
      </c>
      <c r="N85" s="55">
        <f t="shared" si="16"/>
        <v>0.55000000000000004</v>
      </c>
      <c r="O85" s="56">
        <f t="shared" si="17"/>
        <v>0.45205499999999998</v>
      </c>
      <c r="V85" s="54">
        <f t="shared" si="18"/>
        <v>151</v>
      </c>
      <c r="W85" s="52">
        <f t="shared" si="19"/>
        <v>300</v>
      </c>
      <c r="X85" s="52">
        <f t="shared" si="20"/>
        <v>121</v>
      </c>
      <c r="Y85" s="55">
        <f t="shared" si="21"/>
        <v>-189.53752843062927</v>
      </c>
      <c r="Z85" s="55">
        <f t="shared" si="22"/>
        <v>221.72062168309327</v>
      </c>
      <c r="AA85" s="55">
        <f t="shared" si="23"/>
        <v>221.72062168309327</v>
      </c>
      <c r="AB85" s="52">
        <f t="shared" si="24"/>
        <v>0.3357354056103109</v>
      </c>
      <c r="AC85" s="52">
        <f t="shared" si="25"/>
        <v>0.58489900000000006</v>
      </c>
      <c r="AD85" s="52">
        <f t="shared" si="26"/>
        <v>129.68416990181959</v>
      </c>
      <c r="AE85" s="62">
        <f t="shared" si="27"/>
        <v>90.778918931273708</v>
      </c>
    </row>
    <row r="86" spans="1:31" x14ac:dyDescent="0.3">
      <c r="A86" t="s">
        <v>166</v>
      </c>
      <c r="B86" t="s">
        <v>167</v>
      </c>
      <c r="C86" t="s">
        <v>61</v>
      </c>
      <c r="D86">
        <v>1</v>
      </c>
      <c r="E86" s="52">
        <v>700</v>
      </c>
      <c r="F86" s="53">
        <v>0.51780800000000005</v>
      </c>
      <c r="G86" s="54">
        <v>4349.5871999999999</v>
      </c>
      <c r="H86" s="52">
        <v>180</v>
      </c>
      <c r="I86" s="53">
        <v>0.51780800000000005</v>
      </c>
      <c r="J86" s="52">
        <v>99</v>
      </c>
      <c r="K86" s="52">
        <v>265</v>
      </c>
      <c r="L86" s="52">
        <f t="shared" si="14"/>
        <v>166</v>
      </c>
      <c r="M86" s="52">
        <f t="shared" si="15"/>
        <v>81</v>
      </c>
      <c r="N86" s="55">
        <f t="shared" si="16"/>
        <v>0.49036144578313257</v>
      </c>
      <c r="O86" s="56">
        <f t="shared" si="17"/>
        <v>0.51780800000000005</v>
      </c>
      <c r="V86" s="54">
        <f t="shared" si="18"/>
        <v>99</v>
      </c>
      <c r="W86" s="52">
        <f t="shared" si="19"/>
        <v>207.5</v>
      </c>
      <c r="X86" s="52">
        <f t="shared" si="20"/>
        <v>78.25</v>
      </c>
      <c r="Y86" s="55">
        <f t="shared" si="21"/>
        <v>-131.09679049785191</v>
      </c>
      <c r="Z86" s="55">
        <f t="shared" si="22"/>
        <v>150.63592999747283</v>
      </c>
      <c r="AA86" s="55">
        <f t="shared" si="23"/>
        <v>150.63592999747283</v>
      </c>
      <c r="AB86" s="52">
        <f t="shared" si="24"/>
        <v>0.34884785540950763</v>
      </c>
      <c r="AC86" s="52">
        <f t="shared" si="25"/>
        <v>0.57452180722891566</v>
      </c>
      <c r="AD86" s="52">
        <f t="shared" si="26"/>
        <v>86.543626735756519</v>
      </c>
      <c r="AE86" s="62">
        <f t="shared" si="27"/>
        <v>60.580538715029562</v>
      </c>
    </row>
    <row r="87" spans="1:31" x14ac:dyDescent="0.3">
      <c r="A87" t="s">
        <v>168</v>
      </c>
      <c r="B87" t="s">
        <v>167</v>
      </c>
      <c r="C87" t="s">
        <v>61</v>
      </c>
      <c r="D87">
        <v>2</v>
      </c>
      <c r="E87" s="52">
        <v>900</v>
      </c>
      <c r="F87" s="53">
        <v>0.52054800000000001</v>
      </c>
      <c r="G87" s="54">
        <v>5621.9184000000005</v>
      </c>
      <c r="H87" s="52">
        <v>230</v>
      </c>
      <c r="I87" s="53">
        <v>0.52054800000000001</v>
      </c>
      <c r="J87" s="52">
        <v>154</v>
      </c>
      <c r="K87" s="52">
        <v>286</v>
      </c>
      <c r="L87" s="52">
        <f t="shared" si="14"/>
        <v>132</v>
      </c>
      <c r="M87" s="52">
        <f t="shared" si="15"/>
        <v>76</v>
      </c>
      <c r="N87" s="55">
        <f t="shared" si="16"/>
        <v>0.56060606060606066</v>
      </c>
      <c r="O87" s="56">
        <f t="shared" si="17"/>
        <v>0.52054800000000001</v>
      </c>
      <c r="V87" s="54">
        <f t="shared" si="18"/>
        <v>154</v>
      </c>
      <c r="W87" s="52">
        <f t="shared" si="19"/>
        <v>165</v>
      </c>
      <c r="X87" s="52">
        <f t="shared" si="20"/>
        <v>137.5</v>
      </c>
      <c r="Y87" s="55">
        <f t="shared" si="21"/>
        <v>-104.24564063684609</v>
      </c>
      <c r="Z87" s="55">
        <f t="shared" si="22"/>
        <v>157.42134192570128</v>
      </c>
      <c r="AA87" s="55">
        <f t="shared" si="23"/>
        <v>157.42134192570128</v>
      </c>
      <c r="AB87" s="52">
        <f t="shared" si="24"/>
        <v>0.12073540561031082</v>
      </c>
      <c r="AC87" s="52">
        <f t="shared" si="25"/>
        <v>0.75505</v>
      </c>
      <c r="AD87" s="52">
        <f t="shared" si="26"/>
        <v>118.86098422100075</v>
      </c>
      <c r="AE87" s="62">
        <f t="shared" si="27"/>
        <v>83.20268895470052</v>
      </c>
    </row>
    <row r="88" spans="1:31" x14ac:dyDescent="0.3">
      <c r="A88" t="s">
        <v>169</v>
      </c>
      <c r="B88" t="s">
        <v>167</v>
      </c>
      <c r="C88" t="s">
        <v>70</v>
      </c>
      <c r="D88">
        <v>1</v>
      </c>
      <c r="E88" s="52">
        <v>1000</v>
      </c>
      <c r="F88" s="53">
        <v>0.63013699999999995</v>
      </c>
      <c r="G88" s="54">
        <v>7561.6439999999993</v>
      </c>
      <c r="H88" s="52">
        <v>221</v>
      </c>
      <c r="I88" s="53">
        <v>0.63013699999999995</v>
      </c>
      <c r="J88" s="52">
        <v>190</v>
      </c>
      <c r="K88" s="52">
        <v>462</v>
      </c>
      <c r="L88" s="52">
        <f t="shared" si="14"/>
        <v>272</v>
      </c>
      <c r="M88" s="52">
        <f t="shared" si="15"/>
        <v>31</v>
      </c>
      <c r="N88" s="55">
        <f t="shared" si="16"/>
        <v>0.19117647058823531</v>
      </c>
      <c r="O88" s="56">
        <f t="shared" si="17"/>
        <v>0.63013699999999995</v>
      </c>
      <c r="V88" s="54">
        <f t="shared" si="18"/>
        <v>190</v>
      </c>
      <c r="W88" s="52">
        <f t="shared" si="19"/>
        <v>340</v>
      </c>
      <c r="X88" s="52">
        <f t="shared" si="20"/>
        <v>156</v>
      </c>
      <c r="Y88" s="55">
        <f t="shared" si="21"/>
        <v>-214.8091988880465</v>
      </c>
      <c r="Z88" s="55">
        <f t="shared" si="22"/>
        <v>260.71670457417235</v>
      </c>
      <c r="AA88" s="55">
        <f t="shared" si="23"/>
        <v>260.71670457417235</v>
      </c>
      <c r="AB88" s="52">
        <f t="shared" si="24"/>
        <v>0.30799030757109513</v>
      </c>
      <c r="AC88" s="52">
        <f t="shared" si="25"/>
        <v>0.60685647058823533</v>
      </c>
      <c r="AD88" s="52">
        <f t="shared" si="26"/>
        <v>158.21761916127787</v>
      </c>
      <c r="AE88" s="62">
        <f t="shared" si="27"/>
        <v>110.7523334128945</v>
      </c>
    </row>
    <row r="89" spans="1:31" x14ac:dyDescent="0.3">
      <c r="A89" t="s">
        <v>170</v>
      </c>
      <c r="B89" t="s">
        <v>167</v>
      </c>
      <c r="C89" t="s">
        <v>70</v>
      </c>
      <c r="D89">
        <v>2</v>
      </c>
      <c r="E89" s="52">
        <v>1200</v>
      </c>
      <c r="F89" s="53">
        <v>0.369863</v>
      </c>
      <c r="G89" s="54">
        <v>5326.0271999999995</v>
      </c>
      <c r="H89" s="52">
        <v>316</v>
      </c>
      <c r="I89" s="53">
        <v>0.369863</v>
      </c>
      <c r="J89" s="52">
        <v>205</v>
      </c>
      <c r="K89" s="52">
        <v>411</v>
      </c>
      <c r="L89" s="52">
        <f t="shared" si="14"/>
        <v>206</v>
      </c>
      <c r="M89" s="52">
        <f t="shared" si="15"/>
        <v>111</v>
      </c>
      <c r="N89" s="55">
        <f t="shared" si="16"/>
        <v>0.53106796116504862</v>
      </c>
      <c r="O89" s="56">
        <f t="shared" si="17"/>
        <v>0.369863</v>
      </c>
      <c r="V89" s="54">
        <f t="shared" si="18"/>
        <v>205</v>
      </c>
      <c r="W89" s="52">
        <f t="shared" si="19"/>
        <v>257.5</v>
      </c>
      <c r="X89" s="52">
        <f t="shared" si="20"/>
        <v>179.25</v>
      </c>
      <c r="Y89" s="55">
        <f t="shared" si="21"/>
        <v>-162.68637856962346</v>
      </c>
      <c r="Z89" s="55">
        <f t="shared" si="22"/>
        <v>228.0060336113217</v>
      </c>
      <c r="AA89" s="55">
        <f t="shared" si="23"/>
        <v>228.0060336113217</v>
      </c>
      <c r="AB89" s="52">
        <f t="shared" si="24"/>
        <v>0.18934381984979301</v>
      </c>
      <c r="AC89" s="52">
        <f t="shared" si="25"/>
        <v>0.70075330097087385</v>
      </c>
      <c r="AD89" s="52">
        <f t="shared" si="26"/>
        <v>159.7759806944097</v>
      </c>
      <c r="AE89" s="62">
        <f t="shared" si="27"/>
        <v>111.84318648608678</v>
      </c>
    </row>
    <row r="90" spans="1:31" x14ac:dyDescent="0.3">
      <c r="A90" t="s">
        <v>171</v>
      </c>
      <c r="B90" t="s">
        <v>172</v>
      </c>
      <c r="C90" t="s">
        <v>61</v>
      </c>
      <c r="D90">
        <v>1</v>
      </c>
      <c r="E90" s="52">
        <v>700</v>
      </c>
      <c r="F90" s="53">
        <v>0.56986300000000001</v>
      </c>
      <c r="G90" s="54">
        <v>4786.8491999999997</v>
      </c>
      <c r="H90" s="52">
        <v>245</v>
      </c>
      <c r="I90" s="53">
        <v>0.56986300000000001</v>
      </c>
      <c r="J90" s="52">
        <v>192</v>
      </c>
      <c r="K90" s="52">
        <v>313</v>
      </c>
      <c r="L90" s="52">
        <f t="shared" si="14"/>
        <v>121</v>
      </c>
      <c r="M90" s="52">
        <f t="shared" si="15"/>
        <v>53</v>
      </c>
      <c r="N90" s="55">
        <f t="shared" si="16"/>
        <v>0.45041322314049592</v>
      </c>
      <c r="O90" s="56">
        <f t="shared" si="17"/>
        <v>0.56986300000000001</v>
      </c>
      <c r="V90" s="54">
        <f t="shared" si="18"/>
        <v>192</v>
      </c>
      <c r="W90" s="52">
        <f t="shared" si="19"/>
        <v>151.25</v>
      </c>
      <c r="X90" s="52">
        <f t="shared" si="20"/>
        <v>176.875</v>
      </c>
      <c r="Y90" s="55">
        <f t="shared" si="21"/>
        <v>-95.558503917108922</v>
      </c>
      <c r="Z90" s="55">
        <f t="shared" si="22"/>
        <v>169.71956343189285</v>
      </c>
      <c r="AA90" s="55">
        <f t="shared" si="23"/>
        <v>192</v>
      </c>
      <c r="AB90" s="52">
        <f t="shared" si="24"/>
        <v>0.1</v>
      </c>
      <c r="AC90" s="52">
        <f t="shared" si="25"/>
        <v>0.77146000000000003</v>
      </c>
      <c r="AD90" s="52">
        <f t="shared" si="26"/>
        <v>148.12031999999999</v>
      </c>
      <c r="AE90" s="62">
        <f t="shared" si="27"/>
        <v>103.68422399999999</v>
      </c>
    </row>
    <row r="91" spans="1:31" x14ac:dyDescent="0.3">
      <c r="A91" t="s">
        <v>173</v>
      </c>
      <c r="B91" t="s">
        <v>172</v>
      </c>
      <c r="C91" t="s">
        <v>61</v>
      </c>
      <c r="D91">
        <v>2</v>
      </c>
      <c r="E91" s="52">
        <v>1000</v>
      </c>
      <c r="F91" s="53">
        <v>0.419178</v>
      </c>
      <c r="G91" s="54">
        <v>5030.1359999999995</v>
      </c>
      <c r="H91" s="52">
        <v>266</v>
      </c>
      <c r="I91" s="53">
        <v>0.419178</v>
      </c>
      <c r="J91" s="52">
        <v>192</v>
      </c>
      <c r="K91" s="52">
        <v>357</v>
      </c>
      <c r="L91" s="52">
        <f t="shared" si="14"/>
        <v>165</v>
      </c>
      <c r="M91" s="52">
        <f t="shared" si="15"/>
        <v>74</v>
      </c>
      <c r="N91" s="55">
        <f t="shared" si="16"/>
        <v>0.45878787878787886</v>
      </c>
      <c r="O91" s="56">
        <f t="shared" si="17"/>
        <v>0.419178</v>
      </c>
      <c r="V91" s="54">
        <f t="shared" si="18"/>
        <v>192</v>
      </c>
      <c r="W91" s="52">
        <f t="shared" si="19"/>
        <v>206.25</v>
      </c>
      <c r="X91" s="52">
        <f t="shared" si="20"/>
        <v>171.375</v>
      </c>
      <c r="Y91" s="55">
        <f t="shared" si="21"/>
        <v>-130.30705079605761</v>
      </c>
      <c r="Z91" s="55">
        <f t="shared" si="22"/>
        <v>196.52667740712661</v>
      </c>
      <c r="AA91" s="55">
        <f t="shared" si="23"/>
        <v>196.52667740712661</v>
      </c>
      <c r="AB91" s="52">
        <f t="shared" si="24"/>
        <v>0.12194752682243207</v>
      </c>
      <c r="AC91" s="52">
        <f t="shared" si="25"/>
        <v>0.7540907272727273</v>
      </c>
      <c r="AD91" s="52">
        <f t="shared" si="26"/>
        <v>148.19894509443276</v>
      </c>
      <c r="AE91" s="62">
        <f t="shared" si="27"/>
        <v>103.73926156610293</v>
      </c>
    </row>
    <row r="92" spans="1:31" x14ac:dyDescent="0.3">
      <c r="A92" t="s">
        <v>174</v>
      </c>
      <c r="B92" t="s">
        <v>172</v>
      </c>
      <c r="C92" t="s">
        <v>70</v>
      </c>
      <c r="D92">
        <v>1</v>
      </c>
      <c r="E92" s="52">
        <v>800</v>
      </c>
      <c r="F92" s="53">
        <v>0.454795</v>
      </c>
      <c r="G92" s="54">
        <v>4366.0320000000002</v>
      </c>
      <c r="H92" s="52">
        <v>325</v>
      </c>
      <c r="I92" s="53">
        <v>0.454795</v>
      </c>
      <c r="J92" s="52">
        <v>186</v>
      </c>
      <c r="K92" s="52">
        <v>465</v>
      </c>
      <c r="L92" s="52">
        <f t="shared" si="14"/>
        <v>279</v>
      </c>
      <c r="M92" s="52">
        <f t="shared" si="15"/>
        <v>139</v>
      </c>
      <c r="N92" s="55">
        <f t="shared" si="16"/>
        <v>0.49856630824372761</v>
      </c>
      <c r="O92" s="56">
        <f t="shared" si="17"/>
        <v>0.454795</v>
      </c>
      <c r="V92" s="54">
        <f t="shared" si="18"/>
        <v>186</v>
      </c>
      <c r="W92" s="52">
        <f t="shared" si="19"/>
        <v>348.75</v>
      </c>
      <c r="X92" s="52">
        <f t="shared" si="20"/>
        <v>151.125</v>
      </c>
      <c r="Y92" s="55">
        <f t="shared" si="21"/>
        <v>-220.33737680060653</v>
      </c>
      <c r="Z92" s="55">
        <f t="shared" si="22"/>
        <v>262.98147270659592</v>
      </c>
      <c r="AA92" s="55">
        <f t="shared" si="23"/>
        <v>262.98147270659592</v>
      </c>
      <c r="AB92" s="52">
        <f t="shared" si="24"/>
        <v>0.32073540561031089</v>
      </c>
      <c r="AC92" s="52">
        <f t="shared" si="25"/>
        <v>0.59677000000000002</v>
      </c>
      <c r="AD92" s="52">
        <f t="shared" si="26"/>
        <v>156.93945346711524</v>
      </c>
      <c r="AE92" s="62">
        <f t="shared" si="27"/>
        <v>109.85761742698067</v>
      </c>
    </row>
    <row r="93" spans="1:31" x14ac:dyDescent="0.3">
      <c r="A93" t="s">
        <v>175</v>
      </c>
      <c r="B93" t="s">
        <v>162</v>
      </c>
      <c r="C93" t="s">
        <v>70</v>
      </c>
      <c r="D93">
        <v>1</v>
      </c>
      <c r="E93" s="52">
        <v>2500</v>
      </c>
      <c r="F93" s="53">
        <v>0.62191799999999997</v>
      </c>
      <c r="G93" s="54">
        <v>18657.54</v>
      </c>
      <c r="H93" s="52">
        <v>393</v>
      </c>
      <c r="I93" s="53">
        <v>0.62191799999999997</v>
      </c>
      <c r="J93" s="52">
        <v>189</v>
      </c>
      <c r="K93" s="52">
        <v>588</v>
      </c>
      <c r="L93" s="52">
        <f t="shared" si="14"/>
        <v>399</v>
      </c>
      <c r="M93" s="52">
        <f t="shared" si="15"/>
        <v>204</v>
      </c>
      <c r="N93" s="55">
        <f t="shared" si="16"/>
        <v>0.50902255639097749</v>
      </c>
      <c r="O93" s="56">
        <f t="shared" si="17"/>
        <v>0.62191799999999997</v>
      </c>
      <c r="V93" s="54">
        <f t="shared" si="18"/>
        <v>189</v>
      </c>
      <c r="W93" s="52">
        <f t="shared" si="19"/>
        <v>498.75</v>
      </c>
      <c r="X93" s="52">
        <f t="shared" si="20"/>
        <v>139.125</v>
      </c>
      <c r="Y93" s="55">
        <f t="shared" si="21"/>
        <v>-315.10614101592114</v>
      </c>
      <c r="Z93" s="55">
        <f t="shared" si="22"/>
        <v>337.59178354814253</v>
      </c>
      <c r="AA93" s="55">
        <f t="shared" si="23"/>
        <v>337.59178354814253</v>
      </c>
      <c r="AB93" s="52">
        <f t="shared" si="24"/>
        <v>0.3979283880664512</v>
      </c>
      <c r="AC93" s="52">
        <f t="shared" si="25"/>
        <v>0.53567947368421054</v>
      </c>
      <c r="AD93" s="52">
        <f t="shared" si="26"/>
        <v>180.84098893118292</v>
      </c>
      <c r="AE93" s="62">
        <f t="shared" si="27"/>
        <v>126.58869225182804</v>
      </c>
    </row>
    <row r="94" spans="1:31" x14ac:dyDescent="0.3">
      <c r="A94" t="s">
        <v>176</v>
      </c>
      <c r="B94" t="s">
        <v>172</v>
      </c>
      <c r="C94" t="s">
        <v>70</v>
      </c>
      <c r="D94">
        <v>2</v>
      </c>
      <c r="E94" s="52">
        <v>900</v>
      </c>
      <c r="F94" s="53">
        <v>0.70958900000000003</v>
      </c>
      <c r="G94" s="54">
        <v>7663.5612000000001</v>
      </c>
      <c r="H94" s="52">
        <v>256</v>
      </c>
      <c r="I94" s="53">
        <v>0.70958900000000003</v>
      </c>
      <c r="J94" s="52">
        <v>209</v>
      </c>
      <c r="K94" s="52">
        <v>358</v>
      </c>
      <c r="L94" s="52">
        <f t="shared" si="14"/>
        <v>149</v>
      </c>
      <c r="M94" s="52">
        <f t="shared" si="15"/>
        <v>47</v>
      </c>
      <c r="N94" s="55">
        <f t="shared" si="16"/>
        <v>0.3523489932885906</v>
      </c>
      <c r="O94" s="56">
        <f t="shared" si="17"/>
        <v>0.70958900000000003</v>
      </c>
      <c r="V94" s="54">
        <f t="shared" si="18"/>
        <v>209</v>
      </c>
      <c r="W94" s="52">
        <f t="shared" si="19"/>
        <v>186.25</v>
      </c>
      <c r="X94" s="52">
        <f t="shared" si="20"/>
        <v>190.375</v>
      </c>
      <c r="Y94" s="55">
        <f t="shared" si="21"/>
        <v>-117.67121556734901</v>
      </c>
      <c r="Z94" s="55">
        <f t="shared" si="22"/>
        <v>195.27863596158707</v>
      </c>
      <c r="AA94" s="55">
        <f t="shared" si="23"/>
        <v>209</v>
      </c>
      <c r="AB94" s="52">
        <f t="shared" si="24"/>
        <v>0.1</v>
      </c>
      <c r="AC94" s="52">
        <f t="shared" si="25"/>
        <v>0.77146000000000003</v>
      </c>
      <c r="AD94" s="52">
        <f t="shared" si="26"/>
        <v>161.23514</v>
      </c>
      <c r="AE94" s="62">
        <f t="shared" si="27"/>
        <v>112.86459799999999</v>
      </c>
    </row>
    <row r="95" spans="1:31" x14ac:dyDescent="0.3">
      <c r="A95" t="s">
        <v>177</v>
      </c>
      <c r="B95" t="s">
        <v>178</v>
      </c>
      <c r="C95" t="s">
        <v>61</v>
      </c>
      <c r="D95">
        <v>1</v>
      </c>
      <c r="E95" s="52">
        <v>700</v>
      </c>
      <c r="F95" s="53">
        <v>0.309589</v>
      </c>
      <c r="G95" s="54">
        <v>2600.5475999999999</v>
      </c>
      <c r="H95" s="52">
        <v>184</v>
      </c>
      <c r="I95" s="53">
        <v>0.309589</v>
      </c>
      <c r="J95" s="52">
        <v>42</v>
      </c>
      <c r="K95" s="52">
        <v>252</v>
      </c>
      <c r="L95" s="52">
        <f t="shared" si="14"/>
        <v>210</v>
      </c>
      <c r="M95" s="52">
        <f t="shared" si="15"/>
        <v>142</v>
      </c>
      <c r="N95" s="55">
        <f t="shared" si="16"/>
        <v>0.64095238095238094</v>
      </c>
      <c r="O95" s="56">
        <f t="shared" si="17"/>
        <v>0.309589</v>
      </c>
      <c r="V95" s="54">
        <f t="shared" si="18"/>
        <v>42</v>
      </c>
      <c r="W95" s="52">
        <f t="shared" si="19"/>
        <v>262.5</v>
      </c>
      <c r="X95" s="52">
        <f t="shared" si="20"/>
        <v>15.75</v>
      </c>
      <c r="Y95" s="55">
        <f t="shared" si="21"/>
        <v>-165.84533737680061</v>
      </c>
      <c r="Z95" s="55">
        <f t="shared" si="22"/>
        <v>148.94304397270659</v>
      </c>
      <c r="AA95" s="55">
        <f t="shared" si="23"/>
        <v>148.94304397270659</v>
      </c>
      <c r="AB95" s="52">
        <f t="shared" si="24"/>
        <v>0.50740207227697753</v>
      </c>
      <c r="AC95" s="52">
        <f t="shared" si="25"/>
        <v>0.449042</v>
      </c>
      <c r="AD95" s="52">
        <f t="shared" si="26"/>
        <v>66.881682351592119</v>
      </c>
      <c r="AE95" s="62">
        <f t="shared" si="27"/>
        <v>46.81717764611448</v>
      </c>
    </row>
    <row r="96" spans="1:31" x14ac:dyDescent="0.3">
      <c r="A96" t="s">
        <v>179</v>
      </c>
      <c r="B96" t="s">
        <v>178</v>
      </c>
      <c r="C96" t="s">
        <v>61</v>
      </c>
      <c r="D96">
        <v>2</v>
      </c>
      <c r="E96" s="52">
        <v>1000</v>
      </c>
      <c r="F96" s="53">
        <v>0.241096</v>
      </c>
      <c r="G96" s="54">
        <v>2893.152</v>
      </c>
      <c r="H96" s="52">
        <v>427</v>
      </c>
      <c r="I96" s="53">
        <v>0.241096</v>
      </c>
      <c r="J96" s="52">
        <v>94</v>
      </c>
      <c r="K96" s="52">
        <v>531</v>
      </c>
      <c r="L96" s="52">
        <f t="shared" si="14"/>
        <v>437</v>
      </c>
      <c r="M96" s="52">
        <f t="shared" si="15"/>
        <v>333</v>
      </c>
      <c r="N96" s="55">
        <f t="shared" si="16"/>
        <v>0.70961098398169342</v>
      </c>
      <c r="O96" s="56">
        <f t="shared" si="17"/>
        <v>0.241096</v>
      </c>
      <c r="V96" s="54">
        <f t="shared" si="18"/>
        <v>94</v>
      </c>
      <c r="W96" s="52">
        <f t="shared" si="19"/>
        <v>546.25</v>
      </c>
      <c r="X96" s="52">
        <f t="shared" si="20"/>
        <v>39.375</v>
      </c>
      <c r="Y96" s="55">
        <f t="shared" si="21"/>
        <v>-345.1162496841041</v>
      </c>
      <c r="Z96" s="55">
        <f t="shared" si="22"/>
        <v>313.24338198129897</v>
      </c>
      <c r="AA96" s="55">
        <f t="shared" si="23"/>
        <v>313.24338198129897</v>
      </c>
      <c r="AB96" s="52">
        <f t="shared" si="24"/>
        <v>0.50136088234562737</v>
      </c>
      <c r="AC96" s="52">
        <f t="shared" si="25"/>
        <v>0.45382299771167051</v>
      </c>
      <c r="AD96" s="52">
        <f t="shared" si="26"/>
        <v>142.15705062409498</v>
      </c>
      <c r="AE96" s="62">
        <f t="shared" si="27"/>
        <v>99.509935436866485</v>
      </c>
    </row>
    <row r="97" spans="1:31" x14ac:dyDescent="0.3">
      <c r="A97" t="s">
        <v>180</v>
      </c>
      <c r="B97" t="s">
        <v>178</v>
      </c>
      <c r="C97" t="s">
        <v>70</v>
      </c>
      <c r="D97">
        <v>1</v>
      </c>
      <c r="E97" s="52">
        <v>900</v>
      </c>
      <c r="F97" s="53">
        <v>4.6574999999999998E-2</v>
      </c>
      <c r="G97" s="54">
        <v>503.01</v>
      </c>
      <c r="H97" s="52">
        <v>418</v>
      </c>
      <c r="I97" s="53">
        <v>4.6574999999999998E-2</v>
      </c>
      <c r="J97" s="52">
        <v>86</v>
      </c>
      <c r="K97" s="52">
        <v>488</v>
      </c>
      <c r="L97" s="52">
        <f t="shared" si="14"/>
        <v>402</v>
      </c>
      <c r="M97" s="52">
        <f t="shared" si="15"/>
        <v>332</v>
      </c>
      <c r="N97" s="55">
        <f t="shared" si="16"/>
        <v>0.76069651741293531</v>
      </c>
      <c r="O97" s="56">
        <f t="shared" si="17"/>
        <v>4.6574999999999998E-2</v>
      </c>
      <c r="V97" s="54">
        <f t="shared" si="18"/>
        <v>86</v>
      </c>
      <c r="W97" s="52">
        <f t="shared" si="19"/>
        <v>502.5</v>
      </c>
      <c r="X97" s="52">
        <f t="shared" si="20"/>
        <v>35.75</v>
      </c>
      <c r="Y97" s="55">
        <f t="shared" si="21"/>
        <v>-317.47536012130399</v>
      </c>
      <c r="Z97" s="55">
        <f t="shared" si="22"/>
        <v>287.91954131918118</v>
      </c>
      <c r="AA97" s="55">
        <f t="shared" si="23"/>
        <v>287.91954131918118</v>
      </c>
      <c r="AB97" s="52">
        <f t="shared" si="24"/>
        <v>0.50182993297349487</v>
      </c>
      <c r="AC97" s="52">
        <f t="shared" si="25"/>
        <v>0.45345179104477618</v>
      </c>
      <c r="AD97" s="52">
        <f t="shared" si="26"/>
        <v>130.55763168797316</v>
      </c>
      <c r="AE97" s="62">
        <f t="shared" si="27"/>
        <v>91.390342181581204</v>
      </c>
    </row>
    <row r="98" spans="1:31" x14ac:dyDescent="0.3">
      <c r="A98" t="s">
        <v>181</v>
      </c>
      <c r="B98" t="s">
        <v>178</v>
      </c>
      <c r="C98" t="s">
        <v>70</v>
      </c>
      <c r="D98">
        <v>2</v>
      </c>
      <c r="E98" s="52">
        <v>1200</v>
      </c>
      <c r="F98" s="53">
        <v>0.63561599999999996</v>
      </c>
      <c r="G98" s="54">
        <v>9152.8703999999998</v>
      </c>
      <c r="H98" s="52">
        <v>219</v>
      </c>
      <c r="I98" s="53">
        <v>0.63561599999999996</v>
      </c>
      <c r="J98" s="52">
        <v>83</v>
      </c>
      <c r="K98" s="52">
        <v>556</v>
      </c>
      <c r="L98" s="52">
        <f t="shared" si="14"/>
        <v>473</v>
      </c>
      <c r="M98" s="52">
        <f t="shared" si="15"/>
        <v>136</v>
      </c>
      <c r="N98" s="55">
        <f t="shared" si="16"/>
        <v>0.33002114164904867</v>
      </c>
      <c r="O98" s="56">
        <f t="shared" si="17"/>
        <v>0.63561599999999996</v>
      </c>
      <c r="V98" s="54">
        <f t="shared" si="18"/>
        <v>83</v>
      </c>
      <c r="W98" s="52">
        <f t="shared" si="19"/>
        <v>591.25</v>
      </c>
      <c r="X98" s="52">
        <f t="shared" si="20"/>
        <v>23.875</v>
      </c>
      <c r="Y98" s="55">
        <f t="shared" si="21"/>
        <v>-373.54687894869852</v>
      </c>
      <c r="Z98" s="55">
        <f t="shared" si="22"/>
        <v>329.67647523376297</v>
      </c>
      <c r="AA98" s="55">
        <f t="shared" si="23"/>
        <v>329.67647523376297</v>
      </c>
      <c r="AB98" s="52">
        <f t="shared" si="24"/>
        <v>0.51721179743553991</v>
      </c>
      <c r="AC98" s="52">
        <f t="shared" si="25"/>
        <v>0.44127858350951377</v>
      </c>
      <c r="AD98" s="52">
        <f t="shared" si="26"/>
        <v>145.47916800756423</v>
      </c>
      <c r="AE98" s="62">
        <f t="shared" si="27"/>
        <v>101.83541760529495</v>
      </c>
    </row>
    <row r="99" spans="1:31" x14ac:dyDescent="0.3">
      <c r="A99" t="s">
        <v>182</v>
      </c>
      <c r="B99" t="s">
        <v>183</v>
      </c>
      <c r="C99" t="s">
        <v>61</v>
      </c>
      <c r="D99">
        <v>1</v>
      </c>
      <c r="E99" s="52">
        <v>1100</v>
      </c>
      <c r="F99" s="53">
        <v>0.43013699999999999</v>
      </c>
      <c r="G99" s="54">
        <v>5677.8083999999999</v>
      </c>
      <c r="H99" s="52">
        <v>220</v>
      </c>
      <c r="I99" s="53">
        <v>0.43013699999999999</v>
      </c>
      <c r="J99" s="52">
        <v>84</v>
      </c>
      <c r="K99" s="52">
        <v>301</v>
      </c>
      <c r="L99" s="52">
        <f t="shared" si="14"/>
        <v>217</v>
      </c>
      <c r="M99" s="52">
        <f t="shared" si="15"/>
        <v>136</v>
      </c>
      <c r="N99" s="55">
        <f t="shared" si="16"/>
        <v>0.60138248847926268</v>
      </c>
      <c r="O99" s="56">
        <f t="shared" si="17"/>
        <v>0.43013699999999999</v>
      </c>
      <c r="V99" s="54">
        <f t="shared" si="18"/>
        <v>84</v>
      </c>
      <c r="W99" s="52">
        <f t="shared" si="19"/>
        <v>271.25</v>
      </c>
      <c r="X99" s="52">
        <f t="shared" si="20"/>
        <v>56.875</v>
      </c>
      <c r="Y99" s="55">
        <f t="shared" si="21"/>
        <v>-171.37351528936063</v>
      </c>
      <c r="Z99" s="55">
        <f t="shared" si="22"/>
        <v>174.20781210513016</v>
      </c>
      <c r="AA99" s="55">
        <f t="shared" si="23"/>
        <v>174.20781210513016</v>
      </c>
      <c r="AB99" s="52">
        <f t="shared" si="24"/>
        <v>0.43256336259955819</v>
      </c>
      <c r="AC99" s="52">
        <f t="shared" si="25"/>
        <v>0.50826935483870961</v>
      </c>
      <c r="AD99" s="52">
        <f t="shared" si="26"/>
        <v>88.544492266537645</v>
      </c>
      <c r="AE99" s="62">
        <f t="shared" si="27"/>
        <v>61.981144586576349</v>
      </c>
    </row>
    <row r="100" spans="1:31" x14ac:dyDescent="0.3">
      <c r="A100" t="s">
        <v>184</v>
      </c>
      <c r="B100" t="s">
        <v>183</v>
      </c>
      <c r="C100" t="s">
        <v>61</v>
      </c>
      <c r="D100">
        <v>2</v>
      </c>
      <c r="E100" s="52">
        <v>1400</v>
      </c>
      <c r="F100" s="53">
        <v>0.38082199999999999</v>
      </c>
      <c r="G100" s="54">
        <v>6397.8095999999996</v>
      </c>
      <c r="H100" s="52">
        <v>481</v>
      </c>
      <c r="I100" s="53">
        <v>0.38082199999999999</v>
      </c>
      <c r="J100" s="52">
        <v>134</v>
      </c>
      <c r="K100" s="52">
        <v>568</v>
      </c>
      <c r="L100" s="52">
        <f t="shared" si="14"/>
        <v>434</v>
      </c>
      <c r="M100" s="52">
        <f t="shared" si="15"/>
        <v>347</v>
      </c>
      <c r="N100" s="55">
        <f t="shared" si="16"/>
        <v>0.73963133640553003</v>
      </c>
      <c r="O100" s="56">
        <f t="shared" si="17"/>
        <v>0.38082199999999999</v>
      </c>
      <c r="V100" s="54">
        <f t="shared" si="18"/>
        <v>134</v>
      </c>
      <c r="W100" s="52">
        <f t="shared" si="19"/>
        <v>542.5</v>
      </c>
      <c r="X100" s="52">
        <f t="shared" si="20"/>
        <v>79.75</v>
      </c>
      <c r="Y100" s="55">
        <f t="shared" si="21"/>
        <v>-342.74703057872125</v>
      </c>
      <c r="Z100" s="55">
        <f t="shared" si="22"/>
        <v>331.41562421026032</v>
      </c>
      <c r="AA100" s="55">
        <f t="shared" si="23"/>
        <v>331.41562421026032</v>
      </c>
      <c r="AB100" s="52">
        <f t="shared" si="24"/>
        <v>0.46389976812951211</v>
      </c>
      <c r="AC100" s="52">
        <f t="shared" si="25"/>
        <v>0.48346972350230416</v>
      </c>
      <c r="AD100" s="52">
        <f t="shared" si="26"/>
        <v>160.22942020127809</v>
      </c>
      <c r="AE100" s="62">
        <f t="shared" si="27"/>
        <v>112.16059414089466</v>
      </c>
    </row>
    <row r="101" spans="1:31" x14ac:dyDescent="0.3">
      <c r="A101" t="s">
        <v>185</v>
      </c>
      <c r="B101" t="s">
        <v>183</v>
      </c>
      <c r="C101" t="s">
        <v>70</v>
      </c>
      <c r="D101">
        <v>1</v>
      </c>
      <c r="E101" s="52">
        <v>1300</v>
      </c>
      <c r="F101" s="53">
        <v>0.457534</v>
      </c>
      <c r="G101" s="54">
        <v>7137.5303999999996</v>
      </c>
      <c r="H101" s="52">
        <v>280</v>
      </c>
      <c r="I101" s="53">
        <v>0.457534</v>
      </c>
      <c r="J101" s="52">
        <v>109</v>
      </c>
      <c r="K101" s="52">
        <v>615</v>
      </c>
      <c r="L101" s="52">
        <f t="shared" si="14"/>
        <v>506</v>
      </c>
      <c r="M101" s="52">
        <f t="shared" si="15"/>
        <v>171</v>
      </c>
      <c r="N101" s="55">
        <f t="shared" si="16"/>
        <v>0.37035573122529653</v>
      </c>
      <c r="O101" s="56">
        <f t="shared" si="17"/>
        <v>0.457534</v>
      </c>
      <c r="V101" s="54">
        <f t="shared" si="18"/>
        <v>109</v>
      </c>
      <c r="W101" s="52">
        <f t="shared" si="19"/>
        <v>632.5</v>
      </c>
      <c r="X101" s="52">
        <f t="shared" si="20"/>
        <v>45.75</v>
      </c>
      <c r="Y101" s="55">
        <f t="shared" si="21"/>
        <v>-399.60828910791002</v>
      </c>
      <c r="Z101" s="55">
        <f t="shared" si="22"/>
        <v>362.78181071518827</v>
      </c>
      <c r="AA101" s="55">
        <f t="shared" si="23"/>
        <v>362.78181071518827</v>
      </c>
      <c r="AB101" s="52">
        <f t="shared" si="24"/>
        <v>0.50123606437183921</v>
      </c>
      <c r="AC101" s="52">
        <f t="shared" si="25"/>
        <v>0.45392177865612648</v>
      </c>
      <c r="AD101" s="52">
        <f t="shared" si="26"/>
        <v>164.67456478392847</v>
      </c>
      <c r="AE101" s="62">
        <f t="shared" si="27"/>
        <v>115.27219534874992</v>
      </c>
    </row>
    <row r="102" spans="1:31" x14ac:dyDescent="0.3">
      <c r="A102" t="s">
        <v>186</v>
      </c>
      <c r="B102" t="s">
        <v>183</v>
      </c>
      <c r="C102" t="s">
        <v>70</v>
      </c>
      <c r="D102">
        <v>2</v>
      </c>
      <c r="E102" s="52">
        <v>1900</v>
      </c>
      <c r="F102" s="53">
        <v>0.18904099999999999</v>
      </c>
      <c r="G102" s="54">
        <v>4310.1347999999998</v>
      </c>
      <c r="H102" s="52">
        <v>568</v>
      </c>
      <c r="I102" s="53">
        <v>0.18904099999999999</v>
      </c>
      <c r="J102" s="52">
        <v>227</v>
      </c>
      <c r="K102" s="52">
        <v>861</v>
      </c>
      <c r="L102" s="52">
        <f t="shared" si="14"/>
        <v>634</v>
      </c>
      <c r="M102" s="52">
        <f t="shared" si="15"/>
        <v>341</v>
      </c>
      <c r="N102" s="55">
        <f t="shared" si="16"/>
        <v>0.53028391167192435</v>
      </c>
      <c r="O102" s="56">
        <f t="shared" si="17"/>
        <v>0.18904099999999999</v>
      </c>
      <c r="V102" s="54">
        <f t="shared" si="18"/>
        <v>227</v>
      </c>
      <c r="W102" s="52">
        <f t="shared" si="19"/>
        <v>792.5</v>
      </c>
      <c r="X102" s="52">
        <f t="shared" si="20"/>
        <v>147.75</v>
      </c>
      <c r="Y102" s="55">
        <f t="shared" si="21"/>
        <v>-500.694970937579</v>
      </c>
      <c r="Z102" s="55">
        <f t="shared" si="22"/>
        <v>499.76614227950472</v>
      </c>
      <c r="AA102" s="55">
        <f t="shared" si="23"/>
        <v>499.76614227950472</v>
      </c>
      <c r="AB102" s="52">
        <f t="shared" si="24"/>
        <v>0.44418440666183562</v>
      </c>
      <c r="AC102" s="52">
        <f t="shared" si="25"/>
        <v>0.49907246056782334</v>
      </c>
      <c r="AD102" s="52">
        <f t="shared" si="26"/>
        <v>249.41951833592131</v>
      </c>
      <c r="AE102" s="62">
        <f t="shared" si="27"/>
        <v>174.5936628351449</v>
      </c>
    </row>
    <row r="103" spans="1:31" x14ac:dyDescent="0.3">
      <c r="A103" t="s">
        <v>187</v>
      </c>
      <c r="B103" t="s">
        <v>188</v>
      </c>
      <c r="C103" t="s">
        <v>61</v>
      </c>
      <c r="D103">
        <v>1</v>
      </c>
      <c r="E103" s="52">
        <v>900</v>
      </c>
      <c r="F103" s="53">
        <v>0.29041099999999997</v>
      </c>
      <c r="G103" s="54">
        <v>3136.4387999999999</v>
      </c>
      <c r="H103" s="52">
        <v>318</v>
      </c>
      <c r="I103" s="53">
        <v>0.29041099999999997</v>
      </c>
      <c r="J103" s="52">
        <v>176</v>
      </c>
      <c r="K103" s="52">
        <v>440</v>
      </c>
      <c r="L103" s="52">
        <f t="shared" si="14"/>
        <v>264</v>
      </c>
      <c r="M103" s="52">
        <f t="shared" si="15"/>
        <v>142</v>
      </c>
      <c r="N103" s="55">
        <f t="shared" si="16"/>
        <v>0.53030303030303039</v>
      </c>
      <c r="O103" s="56">
        <f t="shared" si="17"/>
        <v>0.29041099999999997</v>
      </c>
      <c r="V103" s="54">
        <f t="shared" si="18"/>
        <v>176</v>
      </c>
      <c r="W103" s="52">
        <f t="shared" si="19"/>
        <v>330</v>
      </c>
      <c r="X103" s="52">
        <f t="shared" si="20"/>
        <v>143</v>
      </c>
      <c r="Y103" s="55">
        <f t="shared" si="21"/>
        <v>-208.49128127369218</v>
      </c>
      <c r="Z103" s="55">
        <f t="shared" si="22"/>
        <v>248.84268385140257</v>
      </c>
      <c r="AA103" s="55">
        <f t="shared" si="23"/>
        <v>248.84268385140257</v>
      </c>
      <c r="AB103" s="52">
        <f t="shared" si="24"/>
        <v>0.32073540561031083</v>
      </c>
      <c r="AC103" s="52">
        <f t="shared" si="25"/>
        <v>0.59677000000000002</v>
      </c>
      <c r="AD103" s="52">
        <f t="shared" si="26"/>
        <v>148.50184844200152</v>
      </c>
      <c r="AE103" s="62">
        <f t="shared" si="27"/>
        <v>103.95129390940106</v>
      </c>
    </row>
    <row r="104" spans="1:31" x14ac:dyDescent="0.3">
      <c r="A104" t="s">
        <v>189</v>
      </c>
      <c r="B104" t="s">
        <v>162</v>
      </c>
      <c r="C104" t="s">
        <v>70</v>
      </c>
      <c r="D104">
        <v>2</v>
      </c>
      <c r="E104" s="52">
        <v>2800</v>
      </c>
      <c r="F104" s="53">
        <v>0.29863000000000001</v>
      </c>
      <c r="G104" s="54">
        <v>10033.968000000001</v>
      </c>
      <c r="H104" s="52">
        <v>556</v>
      </c>
      <c r="I104" s="53">
        <v>0.29863000000000001</v>
      </c>
      <c r="J104" s="52">
        <v>191</v>
      </c>
      <c r="K104" s="52">
        <v>826</v>
      </c>
      <c r="L104" s="52">
        <f t="shared" si="14"/>
        <v>635</v>
      </c>
      <c r="M104" s="52">
        <f t="shared" si="15"/>
        <v>365</v>
      </c>
      <c r="N104" s="55">
        <f t="shared" si="16"/>
        <v>0.5598425196850394</v>
      </c>
      <c r="O104" s="56">
        <f t="shared" si="17"/>
        <v>0.29863000000000001</v>
      </c>
      <c r="V104" s="54">
        <f t="shared" si="18"/>
        <v>191</v>
      </c>
      <c r="W104" s="52">
        <f t="shared" si="19"/>
        <v>793.75</v>
      </c>
      <c r="X104" s="52">
        <f t="shared" si="20"/>
        <v>111.625</v>
      </c>
      <c r="Y104" s="55">
        <f t="shared" si="21"/>
        <v>-501.48471063937325</v>
      </c>
      <c r="Z104" s="55">
        <f t="shared" si="22"/>
        <v>482.37539486985088</v>
      </c>
      <c r="AA104" s="55">
        <f t="shared" si="23"/>
        <v>482.37539486985088</v>
      </c>
      <c r="AB104" s="52">
        <f t="shared" si="24"/>
        <v>0.46708711164705624</v>
      </c>
      <c r="AC104" s="52">
        <f t="shared" si="25"/>
        <v>0.48094725984251974</v>
      </c>
      <c r="AD104" s="52">
        <f t="shared" si="26"/>
        <v>231.99712437810823</v>
      </c>
      <c r="AE104" s="62">
        <f t="shared" si="27"/>
        <v>162.39798706467576</v>
      </c>
    </row>
    <row r="105" spans="1:31" x14ac:dyDescent="0.3">
      <c r="A105" t="s">
        <v>190</v>
      </c>
      <c r="B105" t="s">
        <v>188</v>
      </c>
      <c r="C105" t="s">
        <v>61</v>
      </c>
      <c r="D105">
        <v>2</v>
      </c>
      <c r="E105" s="52">
        <v>1100</v>
      </c>
      <c r="F105" s="53">
        <v>0.58082199999999995</v>
      </c>
      <c r="G105" s="54">
        <v>7666.8503999999994</v>
      </c>
      <c r="H105" s="52">
        <v>538</v>
      </c>
      <c r="I105" s="53">
        <v>0.58082199999999995</v>
      </c>
      <c r="J105" s="52">
        <v>225</v>
      </c>
      <c r="K105" s="52">
        <v>1033</v>
      </c>
      <c r="L105" s="52">
        <f t="shared" si="14"/>
        <v>808</v>
      </c>
      <c r="M105" s="52">
        <f t="shared" si="15"/>
        <v>313</v>
      </c>
      <c r="N105" s="55">
        <f t="shared" si="16"/>
        <v>0.40990099009900993</v>
      </c>
      <c r="O105" s="56">
        <f t="shared" si="17"/>
        <v>0.58082199999999995</v>
      </c>
      <c r="V105" s="54">
        <f t="shared" si="18"/>
        <v>225</v>
      </c>
      <c r="W105" s="52">
        <f t="shared" si="19"/>
        <v>1010</v>
      </c>
      <c r="X105" s="52">
        <f t="shared" si="20"/>
        <v>124</v>
      </c>
      <c r="Y105" s="55">
        <f t="shared" si="21"/>
        <v>-638.1096790497852</v>
      </c>
      <c r="Z105" s="55">
        <f t="shared" si="22"/>
        <v>604.77609299974733</v>
      </c>
      <c r="AA105" s="55">
        <f t="shared" si="23"/>
        <v>604.77609299974733</v>
      </c>
      <c r="AB105" s="52">
        <f t="shared" si="24"/>
        <v>0.47601593366311618</v>
      </c>
      <c r="AC105" s="52">
        <f t="shared" si="25"/>
        <v>0.47388099009900986</v>
      </c>
      <c r="AD105" s="52">
        <f t="shared" si="26"/>
        <v>286.59189373893111</v>
      </c>
      <c r="AE105" s="62">
        <f t="shared" si="27"/>
        <v>200.61432561725175</v>
      </c>
    </row>
    <row r="106" spans="1:31" x14ac:dyDescent="0.3">
      <c r="A106" t="s">
        <v>191</v>
      </c>
      <c r="B106" t="s">
        <v>188</v>
      </c>
      <c r="C106" t="s">
        <v>70</v>
      </c>
      <c r="D106">
        <v>1</v>
      </c>
      <c r="E106" s="52">
        <v>1300</v>
      </c>
      <c r="F106" s="53">
        <v>0.39178099999999999</v>
      </c>
      <c r="G106" s="54">
        <v>6111.7835999999998</v>
      </c>
      <c r="H106" s="52">
        <v>318</v>
      </c>
      <c r="I106" s="53">
        <v>0.39178099999999999</v>
      </c>
      <c r="J106" s="52">
        <v>157</v>
      </c>
      <c r="K106" s="52">
        <v>471</v>
      </c>
      <c r="L106" s="52">
        <f t="shared" si="14"/>
        <v>314</v>
      </c>
      <c r="M106" s="52">
        <f t="shared" si="15"/>
        <v>161</v>
      </c>
      <c r="N106" s="55">
        <f t="shared" si="16"/>
        <v>0.51019108280254777</v>
      </c>
      <c r="O106" s="56">
        <f t="shared" si="17"/>
        <v>0.39178099999999999</v>
      </c>
      <c r="V106" s="54">
        <f t="shared" si="18"/>
        <v>157</v>
      </c>
      <c r="W106" s="52">
        <f t="shared" si="19"/>
        <v>392.5</v>
      </c>
      <c r="X106" s="52">
        <f t="shared" si="20"/>
        <v>117.75</v>
      </c>
      <c r="Y106" s="55">
        <f t="shared" si="21"/>
        <v>-247.97826636340662</v>
      </c>
      <c r="Z106" s="55">
        <f t="shared" si="22"/>
        <v>269.80531336871366</v>
      </c>
      <c r="AA106" s="55">
        <f t="shared" si="23"/>
        <v>269.80531336871366</v>
      </c>
      <c r="AB106" s="52">
        <f t="shared" si="24"/>
        <v>0.38740207227697748</v>
      </c>
      <c r="AC106" s="52">
        <f t="shared" si="25"/>
        <v>0.5440100000000001</v>
      </c>
      <c r="AD106" s="52">
        <f t="shared" si="26"/>
        <v>146.77678852571395</v>
      </c>
      <c r="AE106" s="62">
        <f t="shared" si="27"/>
        <v>102.74375196799976</v>
      </c>
    </row>
    <row r="107" spans="1:31" x14ac:dyDescent="0.3">
      <c r="A107" t="s">
        <v>192</v>
      </c>
      <c r="B107" t="s">
        <v>188</v>
      </c>
      <c r="C107" t="s">
        <v>70</v>
      </c>
      <c r="D107">
        <v>2</v>
      </c>
      <c r="E107" s="52">
        <v>1600</v>
      </c>
      <c r="F107" s="53">
        <v>0.38630100000000001</v>
      </c>
      <c r="G107" s="54">
        <v>7416.9791999999998</v>
      </c>
      <c r="H107" s="52">
        <v>680</v>
      </c>
      <c r="I107" s="53">
        <v>0.38630100000000001</v>
      </c>
      <c r="J107" s="52">
        <v>253</v>
      </c>
      <c r="K107" s="52">
        <v>886</v>
      </c>
      <c r="L107" s="52">
        <f t="shared" si="14"/>
        <v>633</v>
      </c>
      <c r="M107" s="52">
        <f t="shared" si="15"/>
        <v>427</v>
      </c>
      <c r="N107" s="55">
        <f t="shared" si="16"/>
        <v>0.63965244865718796</v>
      </c>
      <c r="O107" s="56">
        <f t="shared" si="17"/>
        <v>0.38630100000000001</v>
      </c>
      <c r="V107" s="54">
        <f t="shared" si="18"/>
        <v>253</v>
      </c>
      <c r="W107" s="52">
        <f t="shared" si="19"/>
        <v>791.25</v>
      </c>
      <c r="X107" s="52">
        <f t="shared" si="20"/>
        <v>173.875</v>
      </c>
      <c r="Y107" s="55">
        <f t="shared" si="21"/>
        <v>-499.9052312357847</v>
      </c>
      <c r="Z107" s="55">
        <f t="shared" si="22"/>
        <v>512.15688968915856</v>
      </c>
      <c r="AA107" s="55">
        <f t="shared" si="23"/>
        <v>512.15688968915856</v>
      </c>
      <c r="AB107" s="52">
        <f t="shared" si="24"/>
        <v>0.42752845458345473</v>
      </c>
      <c r="AC107" s="52">
        <f t="shared" si="25"/>
        <v>0.51225398104265396</v>
      </c>
      <c r="AD107" s="52">
        <f t="shared" si="26"/>
        <v>262.35440566169484</v>
      </c>
      <c r="AE107" s="62">
        <f t="shared" si="27"/>
        <v>183.64808396318637</v>
      </c>
    </row>
    <row r="108" spans="1:31" x14ac:dyDescent="0.3">
      <c r="A108" t="s">
        <v>193</v>
      </c>
      <c r="B108" t="s">
        <v>194</v>
      </c>
      <c r="C108" t="s">
        <v>61</v>
      </c>
      <c r="D108">
        <v>1</v>
      </c>
      <c r="E108" s="52">
        <v>1400</v>
      </c>
      <c r="F108" s="53">
        <v>0.48767099999999997</v>
      </c>
      <c r="G108" s="54">
        <v>8192.8727999999992</v>
      </c>
      <c r="H108" s="52">
        <v>202</v>
      </c>
      <c r="I108" s="53">
        <v>0.48767099999999997</v>
      </c>
      <c r="J108" s="52">
        <v>76</v>
      </c>
      <c r="K108" s="52">
        <v>342</v>
      </c>
      <c r="L108" s="52">
        <f t="shared" si="14"/>
        <v>266</v>
      </c>
      <c r="M108" s="52">
        <f t="shared" si="15"/>
        <v>126</v>
      </c>
      <c r="N108" s="55">
        <f t="shared" si="16"/>
        <v>0.47894736842105268</v>
      </c>
      <c r="O108" s="56">
        <f t="shared" si="17"/>
        <v>0.48767099999999997</v>
      </c>
      <c r="V108" s="54">
        <f t="shared" si="18"/>
        <v>76</v>
      </c>
      <c r="W108" s="52">
        <f t="shared" si="19"/>
        <v>332.5</v>
      </c>
      <c r="X108" s="52">
        <f t="shared" si="20"/>
        <v>42.75</v>
      </c>
      <c r="Y108" s="55">
        <f t="shared" si="21"/>
        <v>-210.07076067728076</v>
      </c>
      <c r="Z108" s="55">
        <f t="shared" si="22"/>
        <v>200.06118903209503</v>
      </c>
      <c r="AA108" s="55">
        <f t="shared" si="23"/>
        <v>200.06118903209503</v>
      </c>
      <c r="AB108" s="52">
        <f t="shared" si="24"/>
        <v>0.47311635799126323</v>
      </c>
      <c r="AC108" s="52">
        <f t="shared" si="25"/>
        <v>0.47617571428571431</v>
      </c>
      <c r="AD108" s="52">
        <f t="shared" si="26"/>
        <v>95.26427958820716</v>
      </c>
      <c r="AE108" s="62">
        <f t="shared" si="27"/>
        <v>66.684995711745003</v>
      </c>
    </row>
    <row r="109" spans="1:31" x14ac:dyDescent="0.3">
      <c r="A109" t="s">
        <v>195</v>
      </c>
      <c r="B109" t="s">
        <v>194</v>
      </c>
      <c r="C109" t="s">
        <v>61</v>
      </c>
      <c r="D109">
        <v>2</v>
      </c>
      <c r="E109" s="52">
        <v>2000</v>
      </c>
      <c r="F109" s="53">
        <v>0.41095900000000002</v>
      </c>
      <c r="G109" s="54">
        <v>9863.0159999999996</v>
      </c>
      <c r="H109" s="52">
        <v>579</v>
      </c>
      <c r="I109" s="53">
        <v>0.41095900000000002</v>
      </c>
      <c r="J109" s="52">
        <v>107</v>
      </c>
      <c r="K109" s="52">
        <v>781</v>
      </c>
      <c r="L109" s="52">
        <f t="shared" si="14"/>
        <v>674</v>
      </c>
      <c r="M109" s="52">
        <f t="shared" si="15"/>
        <v>472</v>
      </c>
      <c r="N109" s="55">
        <f t="shared" si="16"/>
        <v>0.66023738872403559</v>
      </c>
      <c r="O109" s="56">
        <f t="shared" si="17"/>
        <v>0.41095900000000002</v>
      </c>
      <c r="V109" s="54">
        <f t="shared" si="18"/>
        <v>107</v>
      </c>
      <c r="W109" s="52">
        <f t="shared" si="19"/>
        <v>842.5</v>
      </c>
      <c r="X109" s="52">
        <f t="shared" si="20"/>
        <v>22.75</v>
      </c>
      <c r="Y109" s="55">
        <f t="shared" si="21"/>
        <v>-532.28455900935057</v>
      </c>
      <c r="Z109" s="55">
        <f t="shared" si="22"/>
        <v>464.13624589335359</v>
      </c>
      <c r="AA109" s="55">
        <f t="shared" si="23"/>
        <v>464.13624589335359</v>
      </c>
      <c r="AB109" s="52">
        <f t="shared" si="24"/>
        <v>0.52390058859745237</v>
      </c>
      <c r="AC109" s="52">
        <f t="shared" si="25"/>
        <v>0.43598507418397625</v>
      </c>
      <c r="AD109" s="52">
        <f t="shared" si="26"/>
        <v>202.35647559728602</v>
      </c>
      <c r="AE109" s="62">
        <f t="shared" si="27"/>
        <v>141.64953291810019</v>
      </c>
    </row>
    <row r="110" spans="1:31" x14ac:dyDescent="0.3">
      <c r="A110" t="s">
        <v>196</v>
      </c>
      <c r="B110" t="s">
        <v>194</v>
      </c>
      <c r="C110" t="s">
        <v>70</v>
      </c>
      <c r="D110">
        <v>1</v>
      </c>
      <c r="E110" s="52">
        <v>1700</v>
      </c>
      <c r="F110" s="53">
        <v>0.50411000000000006</v>
      </c>
      <c r="G110" s="54">
        <v>10283.844000000001</v>
      </c>
      <c r="H110" s="52">
        <v>524</v>
      </c>
      <c r="I110" s="53">
        <v>0.50411000000000006</v>
      </c>
      <c r="J110" s="52">
        <v>162</v>
      </c>
      <c r="K110" s="52">
        <v>614</v>
      </c>
      <c r="L110" s="52">
        <f t="shared" si="14"/>
        <v>452</v>
      </c>
      <c r="M110" s="52">
        <f t="shared" si="15"/>
        <v>362</v>
      </c>
      <c r="N110" s="55">
        <f t="shared" si="16"/>
        <v>0.74070796460176991</v>
      </c>
      <c r="O110" s="56">
        <f t="shared" si="17"/>
        <v>0.50411000000000006</v>
      </c>
      <c r="V110" s="54">
        <f t="shared" si="18"/>
        <v>162</v>
      </c>
      <c r="W110" s="52">
        <f t="shared" si="19"/>
        <v>565</v>
      </c>
      <c r="X110" s="52">
        <f t="shared" si="20"/>
        <v>105.5</v>
      </c>
      <c r="Y110" s="55">
        <f t="shared" si="21"/>
        <v>-356.96234521101843</v>
      </c>
      <c r="Z110" s="55">
        <f t="shared" si="22"/>
        <v>356.38217083649226</v>
      </c>
      <c r="AA110" s="55">
        <f t="shared" si="23"/>
        <v>356.38217083649226</v>
      </c>
      <c r="AB110" s="52">
        <f t="shared" si="24"/>
        <v>0.4440392404185704</v>
      </c>
      <c r="AC110" s="52">
        <f t="shared" si="25"/>
        <v>0.49918734513274343</v>
      </c>
      <c r="AD110" s="52">
        <f t="shared" si="26"/>
        <v>177.90146971251241</v>
      </c>
      <c r="AE110" s="62">
        <f t="shared" si="27"/>
        <v>124.53102879875868</v>
      </c>
    </row>
    <row r="111" spans="1:31" x14ac:dyDescent="0.3">
      <c r="A111" t="s">
        <v>197</v>
      </c>
      <c r="B111" t="s">
        <v>194</v>
      </c>
      <c r="C111" t="s">
        <v>70</v>
      </c>
      <c r="D111">
        <v>2</v>
      </c>
      <c r="E111" s="52">
        <v>2500</v>
      </c>
      <c r="F111" s="53">
        <v>0.27671200000000001</v>
      </c>
      <c r="G111" s="54">
        <v>8301.36</v>
      </c>
      <c r="H111" s="52">
        <v>560</v>
      </c>
      <c r="I111" s="53">
        <v>0.27671200000000001</v>
      </c>
      <c r="J111" s="52">
        <v>158</v>
      </c>
      <c r="K111" s="52">
        <v>906</v>
      </c>
      <c r="L111" s="52">
        <f t="shared" si="14"/>
        <v>748</v>
      </c>
      <c r="M111" s="52">
        <f t="shared" si="15"/>
        <v>402</v>
      </c>
      <c r="N111" s="55">
        <f t="shared" si="16"/>
        <v>0.5299465240641712</v>
      </c>
      <c r="O111" s="56">
        <f t="shared" si="17"/>
        <v>0.27671200000000001</v>
      </c>
      <c r="V111" s="54">
        <f t="shared" si="18"/>
        <v>158</v>
      </c>
      <c r="W111" s="52">
        <f t="shared" si="19"/>
        <v>935</v>
      </c>
      <c r="X111" s="52">
        <f t="shared" si="20"/>
        <v>64.5</v>
      </c>
      <c r="Y111" s="55">
        <f t="shared" si="21"/>
        <v>-590.7252969421279</v>
      </c>
      <c r="Z111" s="55">
        <f t="shared" si="22"/>
        <v>534.72093757897403</v>
      </c>
      <c r="AA111" s="55">
        <f t="shared" si="23"/>
        <v>534.72093757897403</v>
      </c>
      <c r="AB111" s="52">
        <f t="shared" si="24"/>
        <v>0.50291009366735195</v>
      </c>
      <c r="AC111" s="52">
        <f t="shared" si="25"/>
        <v>0.45259695187165772</v>
      </c>
      <c r="AD111" s="52">
        <f t="shared" si="26"/>
        <v>242.01306645019861</v>
      </c>
      <c r="AE111" s="62">
        <f t="shared" si="27"/>
        <v>169.40914651513901</v>
      </c>
    </row>
    <row r="112" spans="1:31" x14ac:dyDescent="0.3">
      <c r="A112" t="s">
        <v>198</v>
      </c>
      <c r="B112" t="s">
        <v>199</v>
      </c>
      <c r="C112" t="s">
        <v>61</v>
      </c>
      <c r="D112">
        <v>1</v>
      </c>
      <c r="E112" s="52">
        <v>1800</v>
      </c>
      <c r="F112" s="53">
        <v>0.32876699999999998</v>
      </c>
      <c r="G112" s="54">
        <v>7101.3671999999997</v>
      </c>
      <c r="H112" s="52">
        <v>362</v>
      </c>
      <c r="I112" s="53">
        <v>0.32876699999999998</v>
      </c>
      <c r="J112" s="52">
        <v>199</v>
      </c>
      <c r="K112" s="52">
        <v>432</v>
      </c>
      <c r="L112" s="52">
        <f t="shared" si="14"/>
        <v>233</v>
      </c>
      <c r="M112" s="52">
        <f t="shared" si="15"/>
        <v>163</v>
      </c>
      <c r="N112" s="55">
        <f t="shared" si="16"/>
        <v>0.65965665236051507</v>
      </c>
      <c r="O112" s="56">
        <f t="shared" si="17"/>
        <v>0.32876699999999998</v>
      </c>
      <c r="V112" s="54">
        <f t="shared" si="18"/>
        <v>199</v>
      </c>
      <c r="W112" s="52">
        <f t="shared" si="19"/>
        <v>291.25</v>
      </c>
      <c r="X112" s="52">
        <f t="shared" si="20"/>
        <v>169.875</v>
      </c>
      <c r="Y112" s="55">
        <f t="shared" si="21"/>
        <v>-184.00935051806925</v>
      </c>
      <c r="Z112" s="55">
        <f t="shared" si="22"/>
        <v>241.45585355066973</v>
      </c>
      <c r="AA112" s="55">
        <f t="shared" si="23"/>
        <v>241.45585355066973</v>
      </c>
      <c r="AB112" s="52">
        <f t="shared" si="24"/>
        <v>0.24577117098942397</v>
      </c>
      <c r="AC112" s="52">
        <f t="shared" si="25"/>
        <v>0.65609669527896985</v>
      </c>
      <c r="AD112" s="52">
        <f t="shared" si="26"/>
        <v>158.41838757035734</v>
      </c>
      <c r="AE112" s="62">
        <f t="shared" si="27"/>
        <v>110.89287129925013</v>
      </c>
    </row>
    <row r="113" spans="1:31" x14ac:dyDescent="0.3">
      <c r="A113" t="s">
        <v>200</v>
      </c>
      <c r="B113" t="s">
        <v>199</v>
      </c>
      <c r="C113" t="s">
        <v>61</v>
      </c>
      <c r="D113">
        <v>2</v>
      </c>
      <c r="E113" s="52">
        <v>2600</v>
      </c>
      <c r="F113" s="53">
        <v>0.53150699999999995</v>
      </c>
      <c r="G113" s="54">
        <v>16583.018399999997</v>
      </c>
      <c r="H113" s="52">
        <v>417</v>
      </c>
      <c r="I113" s="53">
        <v>0.53150699999999995</v>
      </c>
      <c r="J113" s="52">
        <v>366</v>
      </c>
      <c r="K113" s="52">
        <v>594</v>
      </c>
      <c r="L113" s="52">
        <f t="shared" si="14"/>
        <v>228</v>
      </c>
      <c r="M113" s="52">
        <f t="shared" si="15"/>
        <v>51</v>
      </c>
      <c r="N113" s="55">
        <f t="shared" si="16"/>
        <v>0.27894736842105267</v>
      </c>
      <c r="O113" s="56">
        <f t="shared" si="17"/>
        <v>0.53150699999999995</v>
      </c>
      <c r="V113" s="54">
        <f t="shared" si="18"/>
        <v>366</v>
      </c>
      <c r="W113" s="52">
        <f t="shared" si="19"/>
        <v>285</v>
      </c>
      <c r="X113" s="52">
        <f t="shared" si="20"/>
        <v>337.5</v>
      </c>
      <c r="Y113" s="55">
        <f t="shared" si="21"/>
        <v>-180.06065200909779</v>
      </c>
      <c r="Z113" s="55">
        <f t="shared" si="22"/>
        <v>321.90959059893856</v>
      </c>
      <c r="AA113" s="55">
        <f t="shared" si="23"/>
        <v>366</v>
      </c>
      <c r="AB113" s="52">
        <f t="shared" si="24"/>
        <v>0.1</v>
      </c>
      <c r="AC113" s="52">
        <f t="shared" si="25"/>
        <v>0.77146000000000003</v>
      </c>
      <c r="AD113" s="52">
        <f t="shared" si="26"/>
        <v>282.35435999999999</v>
      </c>
      <c r="AE113" s="62">
        <f t="shared" si="27"/>
        <v>197.64805199999998</v>
      </c>
    </row>
    <row r="114" spans="1:31" x14ac:dyDescent="0.3">
      <c r="A114" t="s">
        <v>201</v>
      </c>
      <c r="B114" t="s">
        <v>199</v>
      </c>
      <c r="C114" t="s">
        <v>70</v>
      </c>
      <c r="D114">
        <v>1</v>
      </c>
      <c r="E114" s="52">
        <v>2500</v>
      </c>
      <c r="F114" s="53">
        <v>0.42739699999999997</v>
      </c>
      <c r="G114" s="54">
        <v>12821.91</v>
      </c>
      <c r="H114" s="52">
        <v>474</v>
      </c>
      <c r="I114" s="53">
        <v>0.42739699999999997</v>
      </c>
      <c r="J114" s="52">
        <v>333</v>
      </c>
      <c r="K114" s="52">
        <v>665</v>
      </c>
      <c r="L114" s="52">
        <f t="shared" si="14"/>
        <v>332</v>
      </c>
      <c r="M114" s="52">
        <f t="shared" si="15"/>
        <v>141</v>
      </c>
      <c r="N114" s="55">
        <f t="shared" si="16"/>
        <v>0.43975903614457834</v>
      </c>
      <c r="O114" s="56">
        <f t="shared" si="17"/>
        <v>0.42739699999999997</v>
      </c>
      <c r="V114" s="54">
        <f t="shared" si="18"/>
        <v>333</v>
      </c>
      <c r="W114" s="52">
        <f t="shared" si="19"/>
        <v>415</v>
      </c>
      <c r="X114" s="52">
        <f t="shared" si="20"/>
        <v>291.5</v>
      </c>
      <c r="Y114" s="55">
        <f t="shared" si="21"/>
        <v>-262.19358099570383</v>
      </c>
      <c r="Z114" s="55">
        <f t="shared" si="22"/>
        <v>368.77185999494566</v>
      </c>
      <c r="AA114" s="55">
        <f t="shared" si="23"/>
        <v>368.77185999494566</v>
      </c>
      <c r="AB114" s="52">
        <f t="shared" si="24"/>
        <v>0.18619725299986906</v>
      </c>
      <c r="AC114" s="52">
        <f t="shared" si="25"/>
        <v>0.70324349397590369</v>
      </c>
      <c r="AD114" s="52">
        <f t="shared" si="26"/>
        <v>259.33641130283837</v>
      </c>
      <c r="AE114" s="62">
        <f t="shared" si="27"/>
        <v>181.53548791198685</v>
      </c>
    </row>
    <row r="115" spans="1:31" x14ac:dyDescent="0.3">
      <c r="A115" t="s">
        <v>202</v>
      </c>
      <c r="B115" t="s">
        <v>60</v>
      </c>
      <c r="C115" t="s">
        <v>70</v>
      </c>
      <c r="D115">
        <v>1</v>
      </c>
      <c r="E115" s="52">
        <v>1500</v>
      </c>
      <c r="F115" s="53">
        <v>0.241096</v>
      </c>
      <c r="G115" s="54">
        <v>4339.7280000000001</v>
      </c>
      <c r="H115" s="52">
        <v>146</v>
      </c>
      <c r="I115" s="53">
        <v>0.241096</v>
      </c>
      <c r="J115" s="52">
        <v>81</v>
      </c>
      <c r="K115" s="52">
        <v>205</v>
      </c>
      <c r="L115" s="52">
        <f t="shared" si="14"/>
        <v>124</v>
      </c>
      <c r="M115" s="52">
        <f t="shared" si="15"/>
        <v>65</v>
      </c>
      <c r="N115" s="55">
        <f t="shared" si="16"/>
        <v>0.51935483870967747</v>
      </c>
      <c r="O115" s="56">
        <f t="shared" si="17"/>
        <v>0.241096</v>
      </c>
      <c r="V115" s="54">
        <f t="shared" si="18"/>
        <v>81</v>
      </c>
      <c r="W115" s="52">
        <f t="shared" si="19"/>
        <v>155</v>
      </c>
      <c r="X115" s="52">
        <f t="shared" si="20"/>
        <v>65.5</v>
      </c>
      <c r="Y115" s="55">
        <f t="shared" si="21"/>
        <v>-97.92772302249179</v>
      </c>
      <c r="Z115" s="55">
        <f t="shared" si="22"/>
        <v>116.04732120293151</v>
      </c>
      <c r="AA115" s="55">
        <f t="shared" si="23"/>
        <v>116.04732120293151</v>
      </c>
      <c r="AB115" s="52">
        <f t="shared" si="24"/>
        <v>0.32611174969633233</v>
      </c>
      <c r="AC115" s="52">
        <f t="shared" si="25"/>
        <v>0.59251516129032256</v>
      </c>
      <c r="AD115" s="52">
        <f t="shared" si="26"/>
        <v>68.759797239864838</v>
      </c>
      <c r="AE115" s="62">
        <f t="shared" si="27"/>
        <v>48.131858067905384</v>
      </c>
    </row>
    <row r="116" spans="1:31" x14ac:dyDescent="0.3">
      <c r="A116" t="s">
        <v>203</v>
      </c>
      <c r="B116" t="s">
        <v>162</v>
      </c>
      <c r="C116" t="s">
        <v>61</v>
      </c>
      <c r="D116">
        <v>1</v>
      </c>
      <c r="E116" s="52">
        <v>1700</v>
      </c>
      <c r="F116" s="53">
        <v>0.41095900000000002</v>
      </c>
      <c r="G116" s="54">
        <v>8383.5635999999995</v>
      </c>
      <c r="H116" s="52">
        <v>312</v>
      </c>
      <c r="I116" s="53">
        <v>0.41095900000000002</v>
      </c>
      <c r="J116" s="52">
        <v>106</v>
      </c>
      <c r="K116" s="52">
        <v>465</v>
      </c>
      <c r="L116" s="52">
        <f t="shared" si="14"/>
        <v>359</v>
      </c>
      <c r="M116" s="52">
        <f t="shared" si="15"/>
        <v>206</v>
      </c>
      <c r="N116" s="55">
        <f t="shared" si="16"/>
        <v>0.55905292479108637</v>
      </c>
      <c r="O116" s="56">
        <f t="shared" si="17"/>
        <v>0.41095900000000002</v>
      </c>
      <c r="V116" s="54">
        <f t="shared" si="18"/>
        <v>106</v>
      </c>
      <c r="W116" s="52">
        <f t="shared" si="19"/>
        <v>448.75</v>
      </c>
      <c r="X116" s="52">
        <f t="shared" si="20"/>
        <v>61.125</v>
      </c>
      <c r="Y116" s="55">
        <f t="shared" si="21"/>
        <v>-283.51655294414962</v>
      </c>
      <c r="Z116" s="55">
        <f t="shared" si="22"/>
        <v>271.72167993429366</v>
      </c>
      <c r="AA116" s="55">
        <f t="shared" si="23"/>
        <v>271.72167993429366</v>
      </c>
      <c r="AB116" s="52">
        <f t="shared" si="24"/>
        <v>0.46929622269480481</v>
      </c>
      <c r="AC116" s="52">
        <f t="shared" si="25"/>
        <v>0.47919896935933148</v>
      </c>
      <c r="AD116" s="52">
        <f t="shared" si="26"/>
        <v>130.20874897709967</v>
      </c>
      <c r="AE116" s="62">
        <f t="shared" si="27"/>
        <v>91.146124283969769</v>
      </c>
    </row>
    <row r="117" spans="1:31" x14ac:dyDescent="0.3">
      <c r="A117" t="s">
        <v>204</v>
      </c>
      <c r="B117" t="s">
        <v>199</v>
      </c>
      <c r="C117" t="s">
        <v>70</v>
      </c>
      <c r="D117">
        <v>2</v>
      </c>
      <c r="E117" s="52">
        <v>3600</v>
      </c>
      <c r="F117" s="53">
        <v>0.39726</v>
      </c>
      <c r="G117" s="54">
        <v>17161.632000000001</v>
      </c>
      <c r="H117" s="52">
        <v>491</v>
      </c>
      <c r="I117" s="53">
        <v>0.39726</v>
      </c>
      <c r="J117" s="52">
        <v>336</v>
      </c>
      <c r="K117" s="52">
        <v>624</v>
      </c>
      <c r="L117" s="52">
        <f t="shared" si="14"/>
        <v>288</v>
      </c>
      <c r="M117" s="52">
        <f t="shared" si="15"/>
        <v>155</v>
      </c>
      <c r="N117" s="55">
        <f t="shared" si="16"/>
        <v>0.53055555555555556</v>
      </c>
      <c r="O117" s="56">
        <f t="shared" si="17"/>
        <v>0.39726</v>
      </c>
      <c r="V117" s="54">
        <f t="shared" si="18"/>
        <v>336</v>
      </c>
      <c r="W117" s="52">
        <f t="shared" si="19"/>
        <v>360</v>
      </c>
      <c r="X117" s="52">
        <f t="shared" si="20"/>
        <v>300</v>
      </c>
      <c r="Y117" s="55">
        <f t="shared" si="21"/>
        <v>-227.44503411675512</v>
      </c>
      <c r="Z117" s="55">
        <f t="shared" si="22"/>
        <v>343.46474601971192</v>
      </c>
      <c r="AA117" s="55">
        <f t="shared" si="23"/>
        <v>343.46474601971192</v>
      </c>
      <c r="AB117" s="52">
        <f t="shared" si="24"/>
        <v>0.1207354056103109</v>
      </c>
      <c r="AC117" s="52">
        <f t="shared" si="25"/>
        <v>0.75505</v>
      </c>
      <c r="AD117" s="52">
        <f t="shared" si="26"/>
        <v>259.33305648218351</v>
      </c>
      <c r="AE117" s="62">
        <f t="shared" si="27"/>
        <v>181.53313953752846</v>
      </c>
    </row>
    <row r="118" spans="1:31" x14ac:dyDescent="0.3">
      <c r="A118" t="s">
        <v>205</v>
      </c>
      <c r="B118" t="s">
        <v>206</v>
      </c>
      <c r="C118" t="s">
        <v>61</v>
      </c>
      <c r="D118">
        <v>1</v>
      </c>
      <c r="E118" s="52">
        <v>1200</v>
      </c>
      <c r="F118" s="53">
        <v>0.79725999999999997</v>
      </c>
      <c r="G118" s="54">
        <v>11480.544</v>
      </c>
      <c r="H118" s="52">
        <v>204</v>
      </c>
      <c r="I118" s="53">
        <v>0.79725999999999997</v>
      </c>
      <c r="J118" s="52">
        <v>173</v>
      </c>
      <c r="K118" s="52">
        <v>395</v>
      </c>
      <c r="L118" s="52">
        <f t="shared" si="14"/>
        <v>222</v>
      </c>
      <c r="M118" s="52">
        <f t="shared" si="15"/>
        <v>31</v>
      </c>
      <c r="N118" s="55">
        <f t="shared" si="16"/>
        <v>0.21171171171171171</v>
      </c>
      <c r="O118" s="56">
        <f t="shared" si="17"/>
        <v>0.79725999999999997</v>
      </c>
      <c r="V118" s="54">
        <f t="shared" si="18"/>
        <v>173</v>
      </c>
      <c r="W118" s="52">
        <f t="shared" si="19"/>
        <v>277.5</v>
      </c>
      <c r="X118" s="52">
        <f t="shared" si="20"/>
        <v>145.25</v>
      </c>
      <c r="Y118" s="55">
        <f t="shared" si="21"/>
        <v>-175.32221379833206</v>
      </c>
      <c r="Z118" s="55">
        <f t="shared" si="22"/>
        <v>221.75407505686127</v>
      </c>
      <c r="AA118" s="55">
        <f t="shared" si="23"/>
        <v>221.75407505686127</v>
      </c>
      <c r="AB118" s="52">
        <f t="shared" si="24"/>
        <v>0.27569036056526586</v>
      </c>
      <c r="AC118" s="52">
        <f t="shared" si="25"/>
        <v>0.63241864864864861</v>
      </c>
      <c r="AD118" s="52">
        <f t="shared" si="26"/>
        <v>140.24141247979119</v>
      </c>
      <c r="AE118" s="62">
        <f t="shared" si="27"/>
        <v>98.16898873585383</v>
      </c>
    </row>
    <row r="119" spans="1:31" x14ac:dyDescent="0.3">
      <c r="A119" t="s">
        <v>207</v>
      </c>
      <c r="B119" t="s">
        <v>206</v>
      </c>
      <c r="C119" t="s">
        <v>61</v>
      </c>
      <c r="D119">
        <v>2</v>
      </c>
      <c r="E119" s="52">
        <v>1600</v>
      </c>
      <c r="F119" s="53">
        <v>0.68767100000000003</v>
      </c>
      <c r="G119" s="54">
        <v>13203.2832</v>
      </c>
      <c r="H119" s="52">
        <v>245</v>
      </c>
      <c r="I119" s="53">
        <v>0.68767100000000003</v>
      </c>
      <c r="J119" s="52">
        <v>228</v>
      </c>
      <c r="K119" s="52">
        <v>456</v>
      </c>
      <c r="L119" s="52">
        <f t="shared" si="14"/>
        <v>228</v>
      </c>
      <c r="M119" s="52">
        <f t="shared" si="15"/>
        <v>17</v>
      </c>
      <c r="N119" s="55">
        <f t="shared" si="16"/>
        <v>0.15964912280701754</v>
      </c>
      <c r="O119" s="56">
        <f t="shared" si="17"/>
        <v>0.68767100000000003</v>
      </c>
      <c r="V119" s="54">
        <f t="shared" si="18"/>
        <v>228</v>
      </c>
      <c r="W119" s="52">
        <f t="shared" si="19"/>
        <v>285</v>
      </c>
      <c r="X119" s="52">
        <f t="shared" si="20"/>
        <v>199.5</v>
      </c>
      <c r="Y119" s="55">
        <f t="shared" si="21"/>
        <v>-180.06065200909779</v>
      </c>
      <c r="Z119" s="55">
        <f t="shared" si="22"/>
        <v>252.90959059893862</v>
      </c>
      <c r="AA119" s="55">
        <f t="shared" si="23"/>
        <v>252.90959059893862</v>
      </c>
      <c r="AB119" s="52">
        <f t="shared" si="24"/>
        <v>0.18740207227697761</v>
      </c>
      <c r="AC119" s="52">
        <f t="shared" si="25"/>
        <v>0.70228999999999997</v>
      </c>
      <c r="AD119" s="52">
        <f t="shared" si="26"/>
        <v>177.61587638172858</v>
      </c>
      <c r="AE119" s="62">
        <f t="shared" si="27"/>
        <v>124.33111346721</v>
      </c>
    </row>
    <row r="120" spans="1:31" x14ac:dyDescent="0.3">
      <c r="A120" t="s">
        <v>208</v>
      </c>
      <c r="B120" t="s">
        <v>206</v>
      </c>
      <c r="C120" t="s">
        <v>70</v>
      </c>
      <c r="D120">
        <v>1</v>
      </c>
      <c r="E120" s="52">
        <v>1000</v>
      </c>
      <c r="F120" s="53">
        <v>0.58904100000000004</v>
      </c>
      <c r="G120" s="54">
        <v>7068.4920000000002</v>
      </c>
      <c r="H120" s="52">
        <v>197</v>
      </c>
      <c r="I120" s="53">
        <v>0.58904100000000004</v>
      </c>
      <c r="J120" s="52">
        <v>155</v>
      </c>
      <c r="K120" s="52">
        <v>252</v>
      </c>
      <c r="L120" s="52">
        <f t="shared" si="14"/>
        <v>97</v>
      </c>
      <c r="M120" s="52">
        <f t="shared" si="15"/>
        <v>42</v>
      </c>
      <c r="N120" s="55">
        <f t="shared" si="16"/>
        <v>0.44639175257731956</v>
      </c>
      <c r="O120" s="56">
        <f t="shared" si="17"/>
        <v>0.58904100000000004</v>
      </c>
      <c r="V120" s="54">
        <f t="shared" si="18"/>
        <v>155</v>
      </c>
      <c r="W120" s="52">
        <f t="shared" si="19"/>
        <v>121.25</v>
      </c>
      <c r="X120" s="52">
        <f t="shared" si="20"/>
        <v>142.875</v>
      </c>
      <c r="Y120" s="55">
        <f t="shared" si="21"/>
        <v>-76.604751074045993</v>
      </c>
      <c r="Z120" s="55">
        <f t="shared" si="22"/>
        <v>136.59750126358352</v>
      </c>
      <c r="AA120" s="55">
        <f t="shared" si="23"/>
        <v>155</v>
      </c>
      <c r="AB120" s="52">
        <f t="shared" si="24"/>
        <v>0.1</v>
      </c>
      <c r="AC120" s="52">
        <f t="shared" si="25"/>
        <v>0.77146000000000003</v>
      </c>
      <c r="AD120" s="52">
        <f t="shared" si="26"/>
        <v>119.5763</v>
      </c>
      <c r="AE120" s="62">
        <f t="shared" si="27"/>
        <v>83.703409999999991</v>
      </c>
    </row>
    <row r="121" spans="1:31" x14ac:dyDescent="0.3">
      <c r="A121" t="s">
        <v>209</v>
      </c>
      <c r="B121" t="s">
        <v>206</v>
      </c>
      <c r="C121" t="s">
        <v>70</v>
      </c>
      <c r="D121">
        <v>2</v>
      </c>
      <c r="E121" s="52">
        <v>1500</v>
      </c>
      <c r="F121" s="53">
        <v>0.61917800000000001</v>
      </c>
      <c r="G121" s="54">
        <v>11145.204</v>
      </c>
      <c r="H121" s="52">
        <v>195</v>
      </c>
      <c r="I121" s="53">
        <v>0.61917800000000001</v>
      </c>
      <c r="J121" s="52">
        <v>158</v>
      </c>
      <c r="K121" s="52">
        <v>236</v>
      </c>
      <c r="L121" s="52">
        <f t="shared" si="14"/>
        <v>78</v>
      </c>
      <c r="M121" s="52">
        <f t="shared" si="15"/>
        <v>37</v>
      </c>
      <c r="N121" s="55">
        <f t="shared" si="16"/>
        <v>0.47948717948717956</v>
      </c>
      <c r="O121" s="56">
        <f t="shared" si="17"/>
        <v>0.61917800000000001</v>
      </c>
      <c r="V121" s="54">
        <f t="shared" si="18"/>
        <v>158</v>
      </c>
      <c r="W121" s="52">
        <f t="shared" si="19"/>
        <v>97.5</v>
      </c>
      <c r="X121" s="52">
        <f t="shared" si="20"/>
        <v>148.25</v>
      </c>
      <c r="Y121" s="55">
        <f t="shared" si="21"/>
        <v>-61.59969673995451</v>
      </c>
      <c r="Z121" s="55">
        <f t="shared" si="22"/>
        <v>126.52170204700532</v>
      </c>
      <c r="AA121" s="55">
        <f t="shared" si="23"/>
        <v>158</v>
      </c>
      <c r="AB121" s="52">
        <f t="shared" si="24"/>
        <v>0.1</v>
      </c>
      <c r="AC121" s="52">
        <f t="shared" si="25"/>
        <v>0.77146000000000003</v>
      </c>
      <c r="AD121" s="52">
        <f t="shared" si="26"/>
        <v>121.89068</v>
      </c>
      <c r="AE121" s="62">
        <f t="shared" si="27"/>
        <v>85.323475999999999</v>
      </c>
    </row>
    <row r="122" spans="1:31" x14ac:dyDescent="0.3">
      <c r="A122" t="s">
        <v>210</v>
      </c>
      <c r="B122" t="s">
        <v>211</v>
      </c>
      <c r="C122" t="s">
        <v>61</v>
      </c>
      <c r="D122">
        <v>1</v>
      </c>
      <c r="E122" s="52">
        <v>750</v>
      </c>
      <c r="F122" s="53">
        <v>0.454795</v>
      </c>
      <c r="G122" s="54">
        <v>4093.1550000000002</v>
      </c>
      <c r="H122" s="52">
        <v>124</v>
      </c>
      <c r="I122" s="53">
        <v>0.454795</v>
      </c>
      <c r="J122" s="52">
        <v>89</v>
      </c>
      <c r="K122" s="52">
        <v>155</v>
      </c>
      <c r="L122" s="52">
        <f t="shared" si="14"/>
        <v>66</v>
      </c>
      <c r="M122" s="52">
        <f t="shared" si="15"/>
        <v>35</v>
      </c>
      <c r="N122" s="55">
        <f t="shared" si="16"/>
        <v>0.52424242424242429</v>
      </c>
      <c r="O122" s="56">
        <f t="shared" si="17"/>
        <v>0.454795</v>
      </c>
      <c r="V122" s="54">
        <f t="shared" si="18"/>
        <v>89</v>
      </c>
      <c r="W122" s="52">
        <f t="shared" si="19"/>
        <v>82.5</v>
      </c>
      <c r="X122" s="52">
        <f t="shared" si="20"/>
        <v>80.75</v>
      </c>
      <c r="Y122" s="55">
        <f t="shared" si="21"/>
        <v>-52.122820318423045</v>
      </c>
      <c r="Z122" s="55">
        <f t="shared" si="22"/>
        <v>84.710670962850642</v>
      </c>
      <c r="AA122" s="55">
        <f t="shared" si="23"/>
        <v>89</v>
      </c>
      <c r="AB122" s="52">
        <f t="shared" si="24"/>
        <v>0.1</v>
      </c>
      <c r="AC122" s="52">
        <f t="shared" si="25"/>
        <v>0.77146000000000003</v>
      </c>
      <c r="AD122" s="52">
        <f t="shared" si="26"/>
        <v>68.659940000000006</v>
      </c>
      <c r="AE122" s="62">
        <f t="shared" si="27"/>
        <v>48.061958000000004</v>
      </c>
    </row>
    <row r="123" spans="1:31" x14ac:dyDescent="0.3">
      <c r="A123" t="s">
        <v>212</v>
      </c>
      <c r="B123" t="s">
        <v>211</v>
      </c>
      <c r="C123" t="s">
        <v>61</v>
      </c>
      <c r="D123">
        <v>2</v>
      </c>
      <c r="E123" s="52">
        <v>1040</v>
      </c>
      <c r="F123" s="53">
        <v>0.48767099999999997</v>
      </c>
      <c r="G123" s="54">
        <v>6086.1340799999998</v>
      </c>
      <c r="H123" s="52">
        <v>156</v>
      </c>
      <c r="I123" s="53">
        <v>0.48767099999999997</v>
      </c>
      <c r="J123" s="52">
        <v>115</v>
      </c>
      <c r="K123" s="52">
        <v>179</v>
      </c>
      <c r="L123" s="52">
        <f t="shared" si="14"/>
        <v>64</v>
      </c>
      <c r="M123" s="52">
        <f t="shared" si="15"/>
        <v>41</v>
      </c>
      <c r="N123" s="55">
        <f t="shared" si="16"/>
        <v>0.61250000000000004</v>
      </c>
      <c r="O123" s="56">
        <f t="shared" si="17"/>
        <v>0.48767099999999997</v>
      </c>
      <c r="V123" s="54">
        <f t="shared" si="18"/>
        <v>115</v>
      </c>
      <c r="W123" s="52">
        <f t="shared" si="19"/>
        <v>80</v>
      </c>
      <c r="X123" s="52">
        <f t="shared" si="20"/>
        <v>107</v>
      </c>
      <c r="Y123" s="55">
        <f t="shared" si="21"/>
        <v>-50.543340914834474</v>
      </c>
      <c r="Z123" s="55">
        <f t="shared" si="22"/>
        <v>96.49216578215821</v>
      </c>
      <c r="AA123" s="55">
        <f t="shared" si="23"/>
        <v>115</v>
      </c>
      <c r="AB123" s="52">
        <f t="shared" si="24"/>
        <v>0.1</v>
      </c>
      <c r="AC123" s="52">
        <f t="shared" si="25"/>
        <v>0.77146000000000003</v>
      </c>
      <c r="AD123" s="52">
        <f t="shared" si="26"/>
        <v>88.7179</v>
      </c>
      <c r="AE123" s="62">
        <f t="shared" si="27"/>
        <v>62.102529999999994</v>
      </c>
    </row>
    <row r="124" spans="1:31" x14ac:dyDescent="0.3">
      <c r="A124" t="s">
        <v>213</v>
      </c>
      <c r="B124" t="s">
        <v>211</v>
      </c>
      <c r="C124" t="s">
        <v>70</v>
      </c>
      <c r="D124">
        <v>1</v>
      </c>
      <c r="E124" s="52">
        <v>900</v>
      </c>
      <c r="F124" s="53">
        <v>0.47945199999999999</v>
      </c>
      <c r="G124" s="54">
        <v>5178.0815999999995</v>
      </c>
      <c r="H124" s="52">
        <v>256</v>
      </c>
      <c r="I124" s="53">
        <v>0.47945199999999999</v>
      </c>
      <c r="J124" s="52">
        <v>152</v>
      </c>
      <c r="K124" s="52">
        <v>300</v>
      </c>
      <c r="L124" s="52">
        <f t="shared" si="14"/>
        <v>148</v>
      </c>
      <c r="M124" s="52">
        <f t="shared" si="15"/>
        <v>104</v>
      </c>
      <c r="N124" s="55">
        <f t="shared" si="16"/>
        <v>0.66216216216216217</v>
      </c>
      <c r="O124" s="56">
        <f t="shared" si="17"/>
        <v>0.47945199999999999</v>
      </c>
      <c r="V124" s="54">
        <f t="shared" si="18"/>
        <v>152</v>
      </c>
      <c r="W124" s="52">
        <f t="shared" si="19"/>
        <v>185</v>
      </c>
      <c r="X124" s="52">
        <f t="shared" si="20"/>
        <v>133.5</v>
      </c>
      <c r="Y124" s="55">
        <f t="shared" si="21"/>
        <v>-116.88147586555472</v>
      </c>
      <c r="Z124" s="55">
        <f t="shared" si="22"/>
        <v>166.16938337124085</v>
      </c>
      <c r="AA124" s="55">
        <f t="shared" si="23"/>
        <v>166.16938337124085</v>
      </c>
      <c r="AB124" s="52">
        <f t="shared" si="24"/>
        <v>0.17659126146616677</v>
      </c>
      <c r="AC124" s="52">
        <f t="shared" si="25"/>
        <v>0.71084567567567558</v>
      </c>
      <c r="AD124" s="52">
        <f t="shared" si="26"/>
        <v>118.12078759914007</v>
      </c>
      <c r="AE124" s="62">
        <f t="shared" si="27"/>
        <v>82.684551319398039</v>
      </c>
    </row>
    <row r="125" spans="1:31" x14ac:dyDescent="0.3">
      <c r="A125" t="s">
        <v>214</v>
      </c>
      <c r="B125" t="s">
        <v>211</v>
      </c>
      <c r="C125" t="s">
        <v>70</v>
      </c>
      <c r="D125">
        <v>2</v>
      </c>
      <c r="E125" s="52">
        <v>1400</v>
      </c>
      <c r="F125" s="53">
        <v>0.49315100000000001</v>
      </c>
      <c r="G125" s="54">
        <v>8284.9367999999995</v>
      </c>
      <c r="H125" s="52">
        <v>284</v>
      </c>
      <c r="I125" s="53">
        <v>0.49315100000000001</v>
      </c>
      <c r="J125" s="52">
        <v>175</v>
      </c>
      <c r="K125" s="52">
        <v>368</v>
      </c>
      <c r="L125" s="52">
        <f t="shared" si="14"/>
        <v>193</v>
      </c>
      <c r="M125" s="52">
        <f t="shared" si="15"/>
        <v>109</v>
      </c>
      <c r="N125" s="55">
        <f t="shared" si="16"/>
        <v>0.55181347150259075</v>
      </c>
      <c r="O125" s="56">
        <f t="shared" si="17"/>
        <v>0.49315100000000001</v>
      </c>
      <c r="V125" s="54">
        <f t="shared" si="18"/>
        <v>175</v>
      </c>
      <c r="W125" s="52">
        <f t="shared" si="19"/>
        <v>241.25</v>
      </c>
      <c r="X125" s="52">
        <f t="shared" si="20"/>
        <v>150.875</v>
      </c>
      <c r="Y125" s="55">
        <f t="shared" si="21"/>
        <v>-152.41976244629771</v>
      </c>
      <c r="Z125" s="55">
        <f t="shared" si="22"/>
        <v>205.08574993682083</v>
      </c>
      <c r="AA125" s="55">
        <f t="shared" si="23"/>
        <v>205.08574993682083</v>
      </c>
      <c r="AB125" s="52">
        <f t="shared" si="24"/>
        <v>0.22470777175884282</v>
      </c>
      <c r="AC125" s="52">
        <f t="shared" si="25"/>
        <v>0.6727662694300518</v>
      </c>
      <c r="AD125" s="52">
        <f t="shared" si="26"/>
        <v>137.97477489825943</v>
      </c>
      <c r="AE125" s="62">
        <f t="shared" si="27"/>
        <v>96.582342428781587</v>
      </c>
    </row>
    <row r="126" spans="1:31" x14ac:dyDescent="0.3">
      <c r="A126" t="s">
        <v>215</v>
      </c>
      <c r="B126" t="s">
        <v>216</v>
      </c>
      <c r="C126" t="s">
        <v>61</v>
      </c>
      <c r="D126">
        <v>1</v>
      </c>
      <c r="E126" s="52">
        <v>825</v>
      </c>
      <c r="F126" s="53">
        <v>0.36164400000000002</v>
      </c>
      <c r="G126" s="54">
        <v>3580.2756000000004</v>
      </c>
      <c r="H126" s="52">
        <v>128</v>
      </c>
      <c r="I126" s="53">
        <v>0.36164400000000002</v>
      </c>
      <c r="J126" s="52">
        <v>77</v>
      </c>
      <c r="K126" s="52">
        <v>161</v>
      </c>
      <c r="L126" s="52">
        <f t="shared" si="14"/>
        <v>84</v>
      </c>
      <c r="M126" s="52">
        <f t="shared" si="15"/>
        <v>51</v>
      </c>
      <c r="N126" s="55">
        <f t="shared" si="16"/>
        <v>0.58571428571428574</v>
      </c>
      <c r="O126" s="56">
        <f t="shared" si="17"/>
        <v>0.36164400000000002</v>
      </c>
      <c r="V126" s="54">
        <f t="shared" si="18"/>
        <v>77</v>
      </c>
      <c r="W126" s="52">
        <f t="shared" si="19"/>
        <v>105</v>
      </c>
      <c r="X126" s="52">
        <f t="shared" si="20"/>
        <v>66.5</v>
      </c>
      <c r="Y126" s="55">
        <f t="shared" si="21"/>
        <v>-66.338134950720246</v>
      </c>
      <c r="Z126" s="55">
        <f t="shared" si="22"/>
        <v>89.677217589082645</v>
      </c>
      <c r="AA126" s="55">
        <f t="shared" si="23"/>
        <v>89.677217589082645</v>
      </c>
      <c r="AB126" s="52">
        <f t="shared" si="24"/>
        <v>0.22073540561031091</v>
      </c>
      <c r="AC126" s="52">
        <f t="shared" si="25"/>
        <v>0.67591000000000001</v>
      </c>
      <c r="AD126" s="52">
        <f t="shared" si="26"/>
        <v>60.613728140636852</v>
      </c>
      <c r="AE126" s="62">
        <f t="shared" si="27"/>
        <v>42.429609698445795</v>
      </c>
    </row>
    <row r="127" spans="1:31" x14ac:dyDescent="0.3">
      <c r="A127" t="s">
        <v>217</v>
      </c>
      <c r="B127" t="s">
        <v>218</v>
      </c>
      <c r="C127" t="s">
        <v>61</v>
      </c>
      <c r="D127">
        <v>2</v>
      </c>
      <c r="E127" s="52">
        <v>2700</v>
      </c>
      <c r="F127" s="53">
        <v>0.42191800000000002</v>
      </c>
      <c r="G127" s="54">
        <v>13670.1432</v>
      </c>
      <c r="H127" s="52">
        <v>337</v>
      </c>
      <c r="I127" s="53">
        <v>0.42191800000000002</v>
      </c>
      <c r="J127" s="52">
        <v>157</v>
      </c>
      <c r="K127" s="52">
        <v>526</v>
      </c>
      <c r="L127" s="52">
        <f t="shared" si="14"/>
        <v>369</v>
      </c>
      <c r="M127" s="52">
        <f t="shared" si="15"/>
        <v>180</v>
      </c>
      <c r="N127" s="55">
        <f t="shared" si="16"/>
        <v>0.49024390243902438</v>
      </c>
      <c r="O127" s="56">
        <f t="shared" si="17"/>
        <v>0.42191800000000002</v>
      </c>
      <c r="V127" s="54">
        <f t="shared" si="18"/>
        <v>157</v>
      </c>
      <c r="W127" s="52">
        <f t="shared" si="19"/>
        <v>461.25</v>
      </c>
      <c r="X127" s="52">
        <f t="shared" si="20"/>
        <v>110.875</v>
      </c>
      <c r="Y127" s="55">
        <f t="shared" si="21"/>
        <v>-291.41394996209249</v>
      </c>
      <c r="Z127" s="55">
        <f t="shared" si="22"/>
        <v>303.31420583775594</v>
      </c>
      <c r="AA127" s="55">
        <f t="shared" si="23"/>
        <v>303.31420583775594</v>
      </c>
      <c r="AB127" s="52">
        <f t="shared" si="24"/>
        <v>0.41721237037995867</v>
      </c>
      <c r="AC127" s="52">
        <f t="shared" si="25"/>
        <v>0.52041813008130067</v>
      </c>
      <c r="AD127" s="52">
        <f t="shared" si="26"/>
        <v>157.85021182917967</v>
      </c>
      <c r="AE127" s="62">
        <f t="shared" si="27"/>
        <v>110.49514828042577</v>
      </c>
    </row>
    <row r="128" spans="1:31" x14ac:dyDescent="0.3">
      <c r="A128" t="s">
        <v>219</v>
      </c>
      <c r="B128" t="s">
        <v>216</v>
      </c>
      <c r="C128" t="s">
        <v>61</v>
      </c>
      <c r="D128">
        <v>2</v>
      </c>
      <c r="E128" s="52">
        <v>1300</v>
      </c>
      <c r="F128" s="53">
        <v>0.74246599999999996</v>
      </c>
      <c r="G128" s="54">
        <v>11582.469599999999</v>
      </c>
      <c r="H128" s="52">
        <v>139</v>
      </c>
      <c r="I128" s="53">
        <v>0.74246599999999996</v>
      </c>
      <c r="J128" s="52">
        <v>125</v>
      </c>
      <c r="K128" s="52">
        <v>170</v>
      </c>
      <c r="L128" s="52">
        <f t="shared" si="14"/>
        <v>45</v>
      </c>
      <c r="M128" s="52">
        <f t="shared" si="15"/>
        <v>14</v>
      </c>
      <c r="N128" s="55">
        <f t="shared" si="16"/>
        <v>0.34888888888888892</v>
      </c>
      <c r="O128" s="56">
        <f t="shared" si="17"/>
        <v>0.74246599999999996</v>
      </c>
      <c r="V128" s="54">
        <f t="shared" si="18"/>
        <v>125</v>
      </c>
      <c r="W128" s="52">
        <f t="shared" si="19"/>
        <v>56.25</v>
      </c>
      <c r="X128" s="52">
        <f t="shared" si="20"/>
        <v>119.375</v>
      </c>
      <c r="Y128" s="55">
        <f t="shared" si="21"/>
        <v>-35.538286580742991</v>
      </c>
      <c r="Z128" s="55">
        <f t="shared" si="22"/>
        <v>89.916366565580006</v>
      </c>
      <c r="AA128" s="55">
        <f t="shared" si="23"/>
        <v>125</v>
      </c>
      <c r="AB128" s="52">
        <f t="shared" si="24"/>
        <v>0.1</v>
      </c>
      <c r="AC128" s="52">
        <f t="shared" si="25"/>
        <v>0.77146000000000003</v>
      </c>
      <c r="AD128" s="52">
        <f t="shared" si="26"/>
        <v>96.432500000000005</v>
      </c>
      <c r="AE128" s="62">
        <f t="shared" si="27"/>
        <v>67.502749999999992</v>
      </c>
    </row>
    <row r="129" spans="1:31" x14ac:dyDescent="0.3">
      <c r="A129" t="s">
        <v>220</v>
      </c>
      <c r="B129" t="s">
        <v>216</v>
      </c>
      <c r="C129" t="s">
        <v>70</v>
      </c>
      <c r="D129">
        <v>1</v>
      </c>
      <c r="E129" s="52">
        <v>1000</v>
      </c>
      <c r="F129" s="53">
        <v>0.369863</v>
      </c>
      <c r="G129" s="54">
        <v>4438.3559999999998</v>
      </c>
      <c r="H129" s="52">
        <v>240</v>
      </c>
      <c r="I129" s="53">
        <v>0.369863</v>
      </c>
      <c r="J129" s="52">
        <v>140</v>
      </c>
      <c r="K129" s="52">
        <v>288</v>
      </c>
      <c r="L129" s="52">
        <f t="shared" si="14"/>
        <v>148</v>
      </c>
      <c r="M129" s="52">
        <f t="shared" si="15"/>
        <v>100</v>
      </c>
      <c r="N129" s="55">
        <f t="shared" si="16"/>
        <v>0.64054054054054055</v>
      </c>
      <c r="O129" s="56">
        <f t="shared" si="17"/>
        <v>0.369863</v>
      </c>
      <c r="V129" s="54">
        <f t="shared" si="18"/>
        <v>140</v>
      </c>
      <c r="W129" s="52">
        <f t="shared" si="19"/>
        <v>185</v>
      </c>
      <c r="X129" s="52">
        <f t="shared" si="20"/>
        <v>121.5</v>
      </c>
      <c r="Y129" s="55">
        <f t="shared" si="21"/>
        <v>-116.88147586555472</v>
      </c>
      <c r="Z129" s="55">
        <f t="shared" si="22"/>
        <v>160.16938337124085</v>
      </c>
      <c r="AA129" s="55">
        <f t="shared" si="23"/>
        <v>160.16938337124085</v>
      </c>
      <c r="AB129" s="52">
        <f t="shared" si="24"/>
        <v>0.20902369389859921</v>
      </c>
      <c r="AC129" s="52">
        <f t="shared" si="25"/>
        <v>0.68517864864864864</v>
      </c>
      <c r="AD129" s="52">
        <f t="shared" si="26"/>
        <v>109.74464165319414</v>
      </c>
      <c r="AE129" s="62">
        <f t="shared" si="27"/>
        <v>76.821249157235897</v>
      </c>
    </row>
    <row r="130" spans="1:31" x14ac:dyDescent="0.3">
      <c r="A130" t="s">
        <v>221</v>
      </c>
      <c r="B130" t="s">
        <v>216</v>
      </c>
      <c r="C130" t="s">
        <v>70</v>
      </c>
      <c r="D130">
        <v>2</v>
      </c>
      <c r="E130" s="52">
        <v>1480</v>
      </c>
      <c r="F130" s="53">
        <v>0.44109599999999999</v>
      </c>
      <c r="G130" s="54">
        <v>7833.8649599999999</v>
      </c>
      <c r="H130" s="52">
        <v>249</v>
      </c>
      <c r="I130" s="53">
        <v>0.44109599999999999</v>
      </c>
      <c r="J130" s="52">
        <v>175</v>
      </c>
      <c r="K130" s="52">
        <v>310</v>
      </c>
      <c r="L130" s="52">
        <f t="shared" si="14"/>
        <v>135</v>
      </c>
      <c r="M130" s="52">
        <f t="shared" si="15"/>
        <v>74</v>
      </c>
      <c r="N130" s="55">
        <f t="shared" si="16"/>
        <v>0.53851851851851851</v>
      </c>
      <c r="O130" s="56">
        <f t="shared" si="17"/>
        <v>0.44109599999999999</v>
      </c>
      <c r="V130" s="54">
        <f t="shared" si="18"/>
        <v>175</v>
      </c>
      <c r="W130" s="52">
        <f t="shared" si="19"/>
        <v>168.75</v>
      </c>
      <c r="X130" s="52">
        <f t="shared" si="20"/>
        <v>158.125</v>
      </c>
      <c r="Y130" s="55">
        <f t="shared" si="21"/>
        <v>-106.61485974222896</v>
      </c>
      <c r="Z130" s="55">
        <f t="shared" si="22"/>
        <v>169.74909969673993</v>
      </c>
      <c r="AA130" s="55">
        <f t="shared" si="23"/>
        <v>175</v>
      </c>
      <c r="AB130" s="52">
        <f t="shared" si="24"/>
        <v>0.1</v>
      </c>
      <c r="AC130" s="52">
        <f t="shared" si="25"/>
        <v>0.77146000000000003</v>
      </c>
      <c r="AD130" s="52">
        <f t="shared" si="26"/>
        <v>135.00550000000001</v>
      </c>
      <c r="AE130" s="62">
        <f t="shared" si="27"/>
        <v>94.50385</v>
      </c>
    </row>
    <row r="131" spans="1:31" x14ac:dyDescent="0.3">
      <c r="A131" t="s">
        <v>222</v>
      </c>
      <c r="B131" t="s">
        <v>223</v>
      </c>
      <c r="C131" t="s">
        <v>61</v>
      </c>
      <c r="D131">
        <v>1</v>
      </c>
      <c r="E131" s="52">
        <v>650</v>
      </c>
      <c r="F131" s="53">
        <v>0.47945199999999999</v>
      </c>
      <c r="G131" s="54">
        <v>3739.7255999999998</v>
      </c>
      <c r="H131" s="52">
        <v>107</v>
      </c>
      <c r="I131" s="53">
        <v>0.47945199999999999</v>
      </c>
      <c r="J131" s="52">
        <v>80</v>
      </c>
      <c r="K131" s="52">
        <v>156</v>
      </c>
      <c r="L131" s="52">
        <f t="shared" si="14"/>
        <v>76</v>
      </c>
      <c r="M131" s="52">
        <f t="shared" si="15"/>
        <v>27</v>
      </c>
      <c r="N131" s="55">
        <f t="shared" si="16"/>
        <v>0.38421052631578945</v>
      </c>
      <c r="O131" s="56">
        <f t="shared" si="17"/>
        <v>0.47945199999999999</v>
      </c>
      <c r="V131" s="54">
        <f t="shared" si="18"/>
        <v>80</v>
      </c>
      <c r="W131" s="52">
        <f t="shared" si="19"/>
        <v>95</v>
      </c>
      <c r="X131" s="52">
        <f t="shared" si="20"/>
        <v>70.5</v>
      </c>
      <c r="Y131" s="55">
        <f t="shared" si="21"/>
        <v>-60.020217336365931</v>
      </c>
      <c r="Z131" s="55">
        <f t="shared" si="22"/>
        <v>86.303196866312859</v>
      </c>
      <c r="AA131" s="55">
        <f t="shared" si="23"/>
        <v>86.303196866312859</v>
      </c>
      <c r="AB131" s="52">
        <f t="shared" si="24"/>
        <v>0.16634944069803009</v>
      </c>
      <c r="AC131" s="52">
        <f t="shared" si="25"/>
        <v>0.71895105263157899</v>
      </c>
      <c r="AD131" s="52">
        <f t="shared" si="26"/>
        <v>62.047774232506022</v>
      </c>
      <c r="AE131" s="62">
        <f t="shared" si="27"/>
        <v>43.433441962754216</v>
      </c>
    </row>
    <row r="132" spans="1:31" x14ac:dyDescent="0.3">
      <c r="A132" t="s">
        <v>224</v>
      </c>
      <c r="B132" t="s">
        <v>223</v>
      </c>
      <c r="C132" t="s">
        <v>61</v>
      </c>
      <c r="D132">
        <v>2</v>
      </c>
      <c r="E132" s="52">
        <v>920</v>
      </c>
      <c r="F132" s="53">
        <v>0.41369900000000004</v>
      </c>
      <c r="G132" s="54">
        <v>4567.2369600000002</v>
      </c>
      <c r="H132" s="52">
        <v>147</v>
      </c>
      <c r="I132" s="53">
        <v>0.41369900000000004</v>
      </c>
      <c r="J132" s="52">
        <v>108</v>
      </c>
      <c r="K132" s="52">
        <v>205</v>
      </c>
      <c r="L132" s="52">
        <f t="shared" si="14"/>
        <v>97</v>
      </c>
      <c r="M132" s="52">
        <f t="shared" si="15"/>
        <v>39</v>
      </c>
      <c r="N132" s="55">
        <f t="shared" si="16"/>
        <v>0.42164948453608253</v>
      </c>
      <c r="O132" s="56">
        <f t="shared" si="17"/>
        <v>0.41369900000000004</v>
      </c>
      <c r="V132" s="54">
        <f t="shared" si="18"/>
        <v>108</v>
      </c>
      <c r="W132" s="52">
        <f t="shared" si="19"/>
        <v>121.25</v>
      </c>
      <c r="X132" s="52">
        <f t="shared" si="20"/>
        <v>95.875</v>
      </c>
      <c r="Y132" s="55">
        <f t="shared" si="21"/>
        <v>-76.604751074045993</v>
      </c>
      <c r="Z132" s="55">
        <f t="shared" si="22"/>
        <v>113.09750126358351</v>
      </c>
      <c r="AA132" s="55">
        <f t="shared" si="23"/>
        <v>113.09750126358351</v>
      </c>
      <c r="AB132" s="52">
        <f t="shared" si="24"/>
        <v>0.14204124753470937</v>
      </c>
      <c r="AC132" s="52">
        <f t="shared" si="25"/>
        <v>0.73818855670103101</v>
      </c>
      <c r="AD132" s="52">
        <f t="shared" si="26"/>
        <v>83.487281224257742</v>
      </c>
      <c r="AE132" s="62">
        <f t="shared" si="27"/>
        <v>58.441096856980415</v>
      </c>
    </row>
    <row r="133" spans="1:31" x14ac:dyDescent="0.3">
      <c r="A133" t="s">
        <v>225</v>
      </c>
      <c r="B133" t="s">
        <v>223</v>
      </c>
      <c r="C133" t="s">
        <v>70</v>
      </c>
      <c r="D133">
        <v>1</v>
      </c>
      <c r="E133" s="52">
        <v>880</v>
      </c>
      <c r="F133" s="53">
        <v>0.44383600000000001</v>
      </c>
      <c r="G133" s="54">
        <v>4686.90816</v>
      </c>
      <c r="H133" s="52">
        <v>246</v>
      </c>
      <c r="I133" s="53">
        <v>0.44383600000000001</v>
      </c>
      <c r="J133" s="52">
        <v>145</v>
      </c>
      <c r="K133" s="52">
        <v>333</v>
      </c>
      <c r="L133" s="52">
        <f t="shared" ref="L133:L196" si="28">K133-J133</f>
        <v>188</v>
      </c>
      <c r="M133" s="52">
        <f t="shared" ref="M133:M196" si="29">H133-J133</f>
        <v>101</v>
      </c>
      <c r="N133" s="55">
        <f t="shared" ref="N133:N196" si="30">($K$2*(M133))/L133+0.1</f>
        <v>0.52978723404255323</v>
      </c>
      <c r="O133" s="56">
        <f t="shared" ref="O133:O196" si="31">I133</f>
        <v>0.44383600000000001</v>
      </c>
      <c r="V133" s="54">
        <f t="shared" ref="V133:V196" si="32">J133</f>
        <v>145</v>
      </c>
      <c r="W133" s="52">
        <f t="shared" ref="W133:W196" si="33">1.25*L133</f>
        <v>235</v>
      </c>
      <c r="X133" s="52">
        <f t="shared" ref="X133:X196" si="34">V133-(L133)/8</f>
        <v>121.5</v>
      </c>
      <c r="Y133" s="55">
        <f t="shared" ref="Y133:Y196" si="35">1.25*L133/(2*$R$2)</f>
        <v>-148.47106393732625</v>
      </c>
      <c r="Z133" s="55">
        <f t="shared" ref="Z133:Z196" si="36">(($R$2*X133)/W133-$S$2)*Y133</f>
        <v>187.03948698508972</v>
      </c>
      <c r="AA133" s="55">
        <f t="shared" ref="AA133:AA196" si="37">IF(Z133&gt;V133,Z133,V133)</f>
        <v>187.03948698508972</v>
      </c>
      <c r="AB133" s="52">
        <f t="shared" ref="AB133:AB196" si="38">(AA133-X133)/W133</f>
        <v>0.27889143397910521</v>
      </c>
      <c r="AC133" s="52">
        <f t="shared" ref="AC133:AC196" si="39">$R$2*AB133+$S$2</f>
        <v>0.6298853191489362</v>
      </c>
      <c r="AD133" s="52">
        <f t="shared" ref="AD133:AD196" si="40">AA133*AC133</f>
        <v>117.81342695305653</v>
      </c>
      <c r="AE133" s="62">
        <f t="shared" ref="AE133:AE196" si="41">AD133*(1-$U$1)</f>
        <v>82.469398867139574</v>
      </c>
    </row>
    <row r="134" spans="1:31" x14ac:dyDescent="0.3">
      <c r="A134" t="s">
        <v>226</v>
      </c>
      <c r="B134" t="s">
        <v>223</v>
      </c>
      <c r="C134" t="s">
        <v>70</v>
      </c>
      <c r="D134">
        <v>2</v>
      </c>
      <c r="E134" s="52">
        <v>1200</v>
      </c>
      <c r="F134" s="53">
        <v>0.61917800000000001</v>
      </c>
      <c r="G134" s="54">
        <v>8916.1632000000009</v>
      </c>
      <c r="H134" s="52">
        <v>169</v>
      </c>
      <c r="I134" s="53">
        <v>0.61917800000000001</v>
      </c>
      <c r="J134" s="52">
        <v>160</v>
      </c>
      <c r="K134" s="52">
        <v>310</v>
      </c>
      <c r="L134" s="52">
        <f t="shared" si="28"/>
        <v>150</v>
      </c>
      <c r="M134" s="52">
        <f t="shared" si="29"/>
        <v>9</v>
      </c>
      <c r="N134" s="55">
        <f t="shared" si="30"/>
        <v>0.14800000000000002</v>
      </c>
      <c r="O134" s="56">
        <f t="shared" si="31"/>
        <v>0.61917800000000001</v>
      </c>
      <c r="V134" s="54">
        <f t="shared" si="32"/>
        <v>160</v>
      </c>
      <c r="W134" s="52">
        <f t="shared" si="33"/>
        <v>187.5</v>
      </c>
      <c r="X134" s="52">
        <f t="shared" si="34"/>
        <v>141.25</v>
      </c>
      <c r="Y134" s="55">
        <f t="shared" si="35"/>
        <v>-118.4609552691433</v>
      </c>
      <c r="Z134" s="55">
        <f t="shared" si="36"/>
        <v>171.38788855193332</v>
      </c>
      <c r="AA134" s="55">
        <f t="shared" si="37"/>
        <v>171.38788855193332</v>
      </c>
      <c r="AB134" s="52">
        <f t="shared" si="38"/>
        <v>0.16073540561031102</v>
      </c>
      <c r="AC134" s="52">
        <f t="shared" si="39"/>
        <v>0.72339399999999987</v>
      </c>
      <c r="AD134" s="52">
        <f t="shared" si="40"/>
        <v>123.98097025113722</v>
      </c>
      <c r="AE134" s="62">
        <f t="shared" si="41"/>
        <v>86.786679175796053</v>
      </c>
    </row>
    <row r="135" spans="1:31" x14ac:dyDescent="0.3">
      <c r="A135" t="s">
        <v>227</v>
      </c>
      <c r="B135" t="s">
        <v>228</v>
      </c>
      <c r="C135" t="s">
        <v>61</v>
      </c>
      <c r="D135">
        <v>1</v>
      </c>
      <c r="E135" s="52">
        <v>1000</v>
      </c>
      <c r="F135" s="53">
        <v>0.54794500000000002</v>
      </c>
      <c r="G135" s="54">
        <v>6575.34</v>
      </c>
      <c r="H135" s="52">
        <v>174</v>
      </c>
      <c r="I135" s="53">
        <v>0.54794500000000002</v>
      </c>
      <c r="J135" s="52">
        <v>95</v>
      </c>
      <c r="K135" s="52">
        <v>280</v>
      </c>
      <c r="L135" s="52">
        <f t="shared" si="28"/>
        <v>185</v>
      </c>
      <c r="M135" s="52">
        <f t="shared" si="29"/>
        <v>79</v>
      </c>
      <c r="N135" s="55">
        <f t="shared" si="30"/>
        <v>0.44162162162162166</v>
      </c>
      <c r="O135" s="56">
        <f t="shared" si="31"/>
        <v>0.54794500000000002</v>
      </c>
      <c r="V135" s="54">
        <f t="shared" si="32"/>
        <v>95</v>
      </c>
      <c r="W135" s="52">
        <f t="shared" si="33"/>
        <v>231.25</v>
      </c>
      <c r="X135" s="52">
        <f t="shared" si="34"/>
        <v>71.875</v>
      </c>
      <c r="Y135" s="55">
        <f t="shared" si="35"/>
        <v>-146.1018448319434</v>
      </c>
      <c r="Z135" s="55">
        <f t="shared" si="36"/>
        <v>160.21172921405105</v>
      </c>
      <c r="AA135" s="55">
        <f t="shared" si="37"/>
        <v>160.21172921405105</v>
      </c>
      <c r="AB135" s="52">
        <f t="shared" si="38"/>
        <v>0.38199666687157208</v>
      </c>
      <c r="AC135" s="52">
        <f t="shared" si="39"/>
        <v>0.54828783783783797</v>
      </c>
      <c r="AD135" s="52">
        <f t="shared" si="40"/>
        <v>87.842142607033225</v>
      </c>
      <c r="AE135" s="62">
        <f t="shared" si="41"/>
        <v>61.48949982492325</v>
      </c>
    </row>
    <row r="136" spans="1:31" x14ac:dyDescent="0.3">
      <c r="A136" t="s">
        <v>229</v>
      </c>
      <c r="B136" t="s">
        <v>228</v>
      </c>
      <c r="C136" t="s">
        <v>61</v>
      </c>
      <c r="D136">
        <v>2</v>
      </c>
      <c r="E136" s="52">
        <v>1200</v>
      </c>
      <c r="F136" s="53">
        <v>0.271233</v>
      </c>
      <c r="G136" s="54">
        <v>3905.7552000000001</v>
      </c>
      <c r="H136" s="52">
        <v>203</v>
      </c>
      <c r="I136" s="53">
        <v>0.271233</v>
      </c>
      <c r="J136" s="52">
        <v>125</v>
      </c>
      <c r="K136" s="52">
        <v>277</v>
      </c>
      <c r="L136" s="52">
        <f t="shared" si="28"/>
        <v>152</v>
      </c>
      <c r="M136" s="52">
        <f t="shared" si="29"/>
        <v>78</v>
      </c>
      <c r="N136" s="55">
        <f t="shared" si="30"/>
        <v>0.51052631578947372</v>
      </c>
      <c r="O136" s="56">
        <f t="shared" si="31"/>
        <v>0.271233</v>
      </c>
      <c r="V136" s="54">
        <f t="shared" si="32"/>
        <v>125</v>
      </c>
      <c r="W136" s="52">
        <f t="shared" si="33"/>
        <v>190</v>
      </c>
      <c r="X136" s="52">
        <f t="shared" si="34"/>
        <v>106</v>
      </c>
      <c r="Y136" s="55">
        <f t="shared" si="35"/>
        <v>-120.04043467273186</v>
      </c>
      <c r="Z136" s="55">
        <f t="shared" si="36"/>
        <v>155.10639373262572</v>
      </c>
      <c r="AA136" s="55">
        <f t="shared" si="37"/>
        <v>155.10639373262572</v>
      </c>
      <c r="AB136" s="52">
        <f t="shared" si="38"/>
        <v>0.25845470385592484</v>
      </c>
      <c r="AC136" s="52">
        <f t="shared" si="39"/>
        <v>0.64605894736842107</v>
      </c>
      <c r="AD136" s="52">
        <f t="shared" si="40"/>
        <v>100.20787346501203</v>
      </c>
      <c r="AE136" s="62">
        <f t="shared" si="41"/>
        <v>70.145511425508417</v>
      </c>
    </row>
    <row r="137" spans="1:31" x14ac:dyDescent="0.3">
      <c r="A137" t="s">
        <v>230</v>
      </c>
      <c r="B137" t="s">
        <v>228</v>
      </c>
      <c r="C137" t="s">
        <v>70</v>
      </c>
      <c r="D137">
        <v>1</v>
      </c>
      <c r="E137" s="52">
        <v>1400</v>
      </c>
      <c r="F137" s="53">
        <v>0.76164399999999999</v>
      </c>
      <c r="G137" s="54">
        <v>12795.619199999999</v>
      </c>
      <c r="H137" s="52">
        <v>240</v>
      </c>
      <c r="I137" s="53">
        <v>0.76164399999999999</v>
      </c>
      <c r="J137" s="52">
        <v>209</v>
      </c>
      <c r="K137" s="52">
        <v>384</v>
      </c>
      <c r="L137" s="52">
        <f t="shared" si="28"/>
        <v>175</v>
      </c>
      <c r="M137" s="52">
        <f t="shared" si="29"/>
        <v>31</v>
      </c>
      <c r="N137" s="55">
        <f t="shared" si="30"/>
        <v>0.24171428571428571</v>
      </c>
      <c r="O137" s="56">
        <f t="shared" si="31"/>
        <v>0.76164399999999999</v>
      </c>
      <c r="V137" s="54">
        <f t="shared" si="32"/>
        <v>209</v>
      </c>
      <c r="W137" s="52">
        <f t="shared" si="33"/>
        <v>218.75</v>
      </c>
      <c r="X137" s="52">
        <f t="shared" si="34"/>
        <v>187.125</v>
      </c>
      <c r="Y137" s="55">
        <f t="shared" si="35"/>
        <v>-138.2044478140005</v>
      </c>
      <c r="Z137" s="55">
        <f t="shared" si="36"/>
        <v>211.11920331058883</v>
      </c>
      <c r="AA137" s="55">
        <f t="shared" si="37"/>
        <v>211.11920331058883</v>
      </c>
      <c r="AB137" s="52">
        <f t="shared" si="38"/>
        <v>0.10968778656269179</v>
      </c>
      <c r="AC137" s="52">
        <f t="shared" si="39"/>
        <v>0.76379308571428572</v>
      </c>
      <c r="AD137" s="52">
        <f t="shared" si="40"/>
        <v>161.2513877501363</v>
      </c>
      <c r="AE137" s="62">
        <f t="shared" si="41"/>
        <v>112.8759714250954</v>
      </c>
    </row>
    <row r="138" spans="1:31" x14ac:dyDescent="0.3">
      <c r="A138" t="s">
        <v>231</v>
      </c>
      <c r="B138" t="s">
        <v>218</v>
      </c>
      <c r="C138" t="s">
        <v>70</v>
      </c>
      <c r="D138">
        <v>1</v>
      </c>
      <c r="E138" s="52">
        <v>2700</v>
      </c>
      <c r="F138" s="53">
        <v>0.51232900000000003</v>
      </c>
      <c r="G138" s="54">
        <v>16599.459600000002</v>
      </c>
      <c r="H138" s="52">
        <v>389</v>
      </c>
      <c r="I138" s="53">
        <v>0.51232900000000003</v>
      </c>
      <c r="J138" s="52">
        <v>202</v>
      </c>
      <c r="K138" s="52">
        <v>629</v>
      </c>
      <c r="L138" s="52">
        <f t="shared" si="28"/>
        <v>427</v>
      </c>
      <c r="M138" s="52">
        <f t="shared" si="29"/>
        <v>187</v>
      </c>
      <c r="N138" s="55">
        <f t="shared" si="30"/>
        <v>0.45035128805620606</v>
      </c>
      <c r="O138" s="56">
        <f t="shared" si="31"/>
        <v>0.51232900000000003</v>
      </c>
      <c r="V138" s="54">
        <f t="shared" si="32"/>
        <v>202</v>
      </c>
      <c r="W138" s="52">
        <f t="shared" si="33"/>
        <v>533.75</v>
      </c>
      <c r="X138" s="52">
        <f t="shared" si="34"/>
        <v>148.625</v>
      </c>
      <c r="Y138" s="55">
        <f t="shared" si="35"/>
        <v>-337.21885266616124</v>
      </c>
      <c r="Z138" s="55">
        <f t="shared" si="36"/>
        <v>361.15085607783675</v>
      </c>
      <c r="AA138" s="55">
        <f t="shared" si="37"/>
        <v>361.15085607783675</v>
      </c>
      <c r="AB138" s="52">
        <f t="shared" si="38"/>
        <v>0.39817490600063093</v>
      </c>
      <c r="AC138" s="52">
        <f t="shared" si="39"/>
        <v>0.53548437939110072</v>
      </c>
      <c r="AD138" s="52">
        <f t="shared" si="40"/>
        <v>193.39064203340516</v>
      </c>
      <c r="AE138" s="62">
        <f t="shared" si="41"/>
        <v>135.37344942338359</v>
      </c>
    </row>
    <row r="139" spans="1:31" x14ac:dyDescent="0.3">
      <c r="A139" t="s">
        <v>232</v>
      </c>
      <c r="B139" t="s">
        <v>228</v>
      </c>
      <c r="C139" t="s">
        <v>70</v>
      </c>
      <c r="D139">
        <v>2</v>
      </c>
      <c r="E139" s="52">
        <v>1600</v>
      </c>
      <c r="F139" s="53">
        <v>0.60821899999999995</v>
      </c>
      <c r="G139" s="54">
        <v>11677.8048</v>
      </c>
      <c r="H139" s="52">
        <v>312</v>
      </c>
      <c r="I139" s="53">
        <v>0.60821899999999995</v>
      </c>
      <c r="J139" s="52">
        <v>220</v>
      </c>
      <c r="K139" s="52">
        <v>418</v>
      </c>
      <c r="L139" s="52">
        <f t="shared" si="28"/>
        <v>198</v>
      </c>
      <c r="M139" s="52">
        <f t="shared" si="29"/>
        <v>92</v>
      </c>
      <c r="N139" s="55">
        <f t="shared" si="30"/>
        <v>0.47171717171717176</v>
      </c>
      <c r="O139" s="56">
        <f t="shared" si="31"/>
        <v>0.60821899999999995</v>
      </c>
      <c r="V139" s="54">
        <f t="shared" si="32"/>
        <v>220</v>
      </c>
      <c r="W139" s="52">
        <f t="shared" si="33"/>
        <v>247.5</v>
      </c>
      <c r="X139" s="52">
        <f t="shared" si="34"/>
        <v>195.25</v>
      </c>
      <c r="Y139" s="55">
        <f t="shared" si="35"/>
        <v>-156.36846095526914</v>
      </c>
      <c r="Z139" s="55">
        <f t="shared" si="36"/>
        <v>230.63201288855194</v>
      </c>
      <c r="AA139" s="55">
        <f t="shared" si="37"/>
        <v>230.63201288855194</v>
      </c>
      <c r="AB139" s="52">
        <f t="shared" si="38"/>
        <v>0.1429576278325331</v>
      </c>
      <c r="AC139" s="52">
        <f t="shared" si="39"/>
        <v>0.73746333333333336</v>
      </c>
      <c r="AD139" s="52">
        <f t="shared" si="40"/>
        <v>170.08265299816782</v>
      </c>
      <c r="AE139" s="62">
        <f t="shared" si="41"/>
        <v>119.05785709871746</v>
      </c>
    </row>
    <row r="140" spans="1:31" x14ac:dyDescent="0.3">
      <c r="A140" t="s">
        <v>233</v>
      </c>
      <c r="B140" t="s">
        <v>234</v>
      </c>
      <c r="C140" t="s">
        <v>61</v>
      </c>
      <c r="D140">
        <v>1</v>
      </c>
      <c r="E140" s="52">
        <v>1105</v>
      </c>
      <c r="F140" s="53">
        <v>0.61095900000000003</v>
      </c>
      <c r="G140" s="54">
        <v>8101.3163400000003</v>
      </c>
      <c r="H140" s="52">
        <v>111</v>
      </c>
      <c r="I140" s="53">
        <v>0.61095900000000003</v>
      </c>
      <c r="J140" s="52">
        <v>82</v>
      </c>
      <c r="K140" s="52">
        <v>235</v>
      </c>
      <c r="L140" s="52">
        <f t="shared" si="28"/>
        <v>153</v>
      </c>
      <c r="M140" s="52">
        <f t="shared" si="29"/>
        <v>29</v>
      </c>
      <c r="N140" s="55">
        <f t="shared" si="30"/>
        <v>0.25163398692810457</v>
      </c>
      <c r="O140" s="56">
        <f t="shared" si="31"/>
        <v>0.61095900000000003</v>
      </c>
      <c r="V140" s="54">
        <f t="shared" si="32"/>
        <v>82</v>
      </c>
      <c r="W140" s="52">
        <f t="shared" si="33"/>
        <v>191.25</v>
      </c>
      <c r="X140" s="52">
        <f t="shared" si="34"/>
        <v>62.875</v>
      </c>
      <c r="Y140" s="55">
        <f t="shared" si="35"/>
        <v>-120.83017437452615</v>
      </c>
      <c r="Z140" s="55">
        <f t="shared" si="36"/>
        <v>134.21564632297196</v>
      </c>
      <c r="AA140" s="55">
        <f t="shared" si="37"/>
        <v>134.21564632297196</v>
      </c>
      <c r="AB140" s="52">
        <f t="shared" si="38"/>
        <v>0.37302298730965733</v>
      </c>
      <c r="AC140" s="52">
        <f t="shared" si="39"/>
        <v>0.55538960784313729</v>
      </c>
      <c r="AD140" s="52">
        <f t="shared" si="40"/>
        <v>74.541975177728617</v>
      </c>
      <c r="AE140" s="62">
        <f t="shared" si="41"/>
        <v>52.179382624410032</v>
      </c>
    </row>
    <row r="141" spans="1:31" x14ac:dyDescent="0.3">
      <c r="A141" t="s">
        <v>235</v>
      </c>
      <c r="B141" t="s">
        <v>234</v>
      </c>
      <c r="C141" t="s">
        <v>61</v>
      </c>
      <c r="D141">
        <v>2</v>
      </c>
      <c r="E141" s="52">
        <v>1665</v>
      </c>
      <c r="F141" s="53">
        <v>0.30684899999999998</v>
      </c>
      <c r="G141" s="54">
        <v>6130.8430199999993</v>
      </c>
      <c r="H141" s="52">
        <v>169</v>
      </c>
      <c r="I141" s="53">
        <v>0.30684899999999998</v>
      </c>
      <c r="J141" s="52">
        <v>130</v>
      </c>
      <c r="K141" s="52">
        <v>200</v>
      </c>
      <c r="L141" s="52">
        <f t="shared" si="28"/>
        <v>70</v>
      </c>
      <c r="M141" s="52">
        <f t="shared" si="29"/>
        <v>39</v>
      </c>
      <c r="N141" s="55">
        <f t="shared" si="30"/>
        <v>0.54571428571428571</v>
      </c>
      <c r="O141" s="56">
        <f t="shared" si="31"/>
        <v>0.30684899999999998</v>
      </c>
      <c r="V141" s="54">
        <f t="shared" si="32"/>
        <v>130</v>
      </c>
      <c r="W141" s="52">
        <f t="shared" si="33"/>
        <v>87.5</v>
      </c>
      <c r="X141" s="52">
        <f t="shared" si="34"/>
        <v>121.25</v>
      </c>
      <c r="Y141" s="55">
        <f t="shared" si="35"/>
        <v>-55.281779125600202</v>
      </c>
      <c r="Z141" s="55">
        <f t="shared" si="36"/>
        <v>107.64768132423553</v>
      </c>
      <c r="AA141" s="55">
        <f t="shared" si="37"/>
        <v>130</v>
      </c>
      <c r="AB141" s="52">
        <f t="shared" si="38"/>
        <v>0.1</v>
      </c>
      <c r="AC141" s="52">
        <f t="shared" si="39"/>
        <v>0.77146000000000003</v>
      </c>
      <c r="AD141" s="52">
        <f t="shared" si="40"/>
        <v>100.2898</v>
      </c>
      <c r="AE141" s="62">
        <f t="shared" si="41"/>
        <v>70.202860000000001</v>
      </c>
    </row>
    <row r="142" spans="1:31" x14ac:dyDescent="0.3">
      <c r="A142" t="s">
        <v>236</v>
      </c>
      <c r="B142" t="s">
        <v>234</v>
      </c>
      <c r="C142" t="s">
        <v>70</v>
      </c>
      <c r="D142">
        <v>1</v>
      </c>
      <c r="E142" s="52">
        <v>1175</v>
      </c>
      <c r="F142" s="53">
        <v>0.52328799999999998</v>
      </c>
      <c r="G142" s="54">
        <v>7378.3607999999995</v>
      </c>
      <c r="H142" s="52">
        <v>201</v>
      </c>
      <c r="I142" s="53">
        <v>0.52328799999999998</v>
      </c>
      <c r="J142" s="52">
        <v>106</v>
      </c>
      <c r="K142" s="52">
        <v>267</v>
      </c>
      <c r="L142" s="52">
        <f t="shared" si="28"/>
        <v>161</v>
      </c>
      <c r="M142" s="52">
        <f t="shared" si="29"/>
        <v>95</v>
      </c>
      <c r="N142" s="55">
        <f t="shared" si="30"/>
        <v>0.57204968944099377</v>
      </c>
      <c r="O142" s="56">
        <f t="shared" si="31"/>
        <v>0.52328799999999998</v>
      </c>
      <c r="V142" s="54">
        <f t="shared" si="32"/>
        <v>106</v>
      </c>
      <c r="W142" s="52">
        <f t="shared" si="33"/>
        <v>201.25</v>
      </c>
      <c r="X142" s="52">
        <f t="shared" si="34"/>
        <v>85.875</v>
      </c>
      <c r="Y142" s="55">
        <f t="shared" si="35"/>
        <v>-127.14809198888047</v>
      </c>
      <c r="Z142" s="55">
        <f t="shared" si="36"/>
        <v>151.08966704574172</v>
      </c>
      <c r="AA142" s="55">
        <f t="shared" si="37"/>
        <v>151.08966704574172</v>
      </c>
      <c r="AB142" s="52">
        <f t="shared" si="38"/>
        <v>0.32404803500989676</v>
      </c>
      <c r="AC142" s="52">
        <f t="shared" si="39"/>
        <v>0.5941483850931677</v>
      </c>
      <c r="AD142" s="52">
        <f t="shared" si="40"/>
        <v>89.769681679491839</v>
      </c>
      <c r="AE142" s="62">
        <f t="shared" si="41"/>
        <v>62.838777175644282</v>
      </c>
    </row>
    <row r="143" spans="1:31" x14ac:dyDescent="0.3">
      <c r="A143" t="s">
        <v>237</v>
      </c>
      <c r="B143" t="s">
        <v>234</v>
      </c>
      <c r="C143" t="s">
        <v>70</v>
      </c>
      <c r="D143">
        <v>2</v>
      </c>
      <c r="E143" s="52">
        <v>1725</v>
      </c>
      <c r="F143" s="53">
        <v>0.48219200000000001</v>
      </c>
      <c r="G143" s="54">
        <v>9981.3744000000006</v>
      </c>
      <c r="H143" s="52">
        <v>242</v>
      </c>
      <c r="I143" s="53">
        <v>0.48219200000000001</v>
      </c>
      <c r="J143" s="52">
        <v>195</v>
      </c>
      <c r="K143" s="52">
        <v>305</v>
      </c>
      <c r="L143" s="52">
        <f t="shared" si="28"/>
        <v>110</v>
      </c>
      <c r="M143" s="52">
        <f t="shared" si="29"/>
        <v>47</v>
      </c>
      <c r="N143" s="55">
        <f t="shared" si="30"/>
        <v>0.44181818181818189</v>
      </c>
      <c r="O143" s="56">
        <f t="shared" si="31"/>
        <v>0.48219200000000001</v>
      </c>
      <c r="V143" s="54">
        <f t="shared" si="32"/>
        <v>195</v>
      </c>
      <c r="W143" s="52">
        <f t="shared" si="33"/>
        <v>137.5</v>
      </c>
      <c r="X143" s="52">
        <f t="shared" si="34"/>
        <v>181.25</v>
      </c>
      <c r="Y143" s="55">
        <f t="shared" si="35"/>
        <v>-86.871367197371754</v>
      </c>
      <c r="Z143" s="55">
        <f t="shared" si="36"/>
        <v>164.51778493808442</v>
      </c>
      <c r="AA143" s="55">
        <f t="shared" si="37"/>
        <v>195</v>
      </c>
      <c r="AB143" s="52">
        <f t="shared" si="38"/>
        <v>0.1</v>
      </c>
      <c r="AC143" s="52">
        <f t="shared" si="39"/>
        <v>0.77146000000000003</v>
      </c>
      <c r="AD143" s="52">
        <f t="shared" si="40"/>
        <v>150.43470000000002</v>
      </c>
      <c r="AE143" s="62">
        <f t="shared" si="41"/>
        <v>105.30429000000001</v>
      </c>
    </row>
    <row r="144" spans="1:31" x14ac:dyDescent="0.3">
      <c r="A144" t="s">
        <v>238</v>
      </c>
      <c r="B144" t="s">
        <v>239</v>
      </c>
      <c r="C144" t="s">
        <v>61</v>
      </c>
      <c r="D144">
        <v>1</v>
      </c>
      <c r="E144" s="52">
        <v>709</v>
      </c>
      <c r="F144" s="53">
        <v>0.221918</v>
      </c>
      <c r="G144" s="54">
        <v>1888.078344</v>
      </c>
      <c r="H144" s="52">
        <v>158</v>
      </c>
      <c r="I144" s="53">
        <v>0.221918</v>
      </c>
      <c r="J144" s="52">
        <v>86</v>
      </c>
      <c r="K144" s="52">
        <v>192</v>
      </c>
      <c r="L144" s="52">
        <f t="shared" si="28"/>
        <v>106</v>
      </c>
      <c r="M144" s="52">
        <f t="shared" si="29"/>
        <v>72</v>
      </c>
      <c r="N144" s="55">
        <f t="shared" si="30"/>
        <v>0.64339622641509431</v>
      </c>
      <c r="O144" s="56">
        <f t="shared" si="31"/>
        <v>0.221918</v>
      </c>
      <c r="V144" s="54">
        <f t="shared" si="32"/>
        <v>86</v>
      </c>
      <c r="W144" s="52">
        <f t="shared" si="33"/>
        <v>132.5</v>
      </c>
      <c r="X144" s="52">
        <f t="shared" si="34"/>
        <v>72.75</v>
      </c>
      <c r="Y144" s="55">
        <f t="shared" si="35"/>
        <v>-83.712408390194597</v>
      </c>
      <c r="Z144" s="55">
        <f t="shared" si="36"/>
        <v>107.58077457669954</v>
      </c>
      <c r="AA144" s="55">
        <f t="shared" si="37"/>
        <v>107.58077457669954</v>
      </c>
      <c r="AB144" s="52">
        <f t="shared" si="38"/>
        <v>0.26287377039018522</v>
      </c>
      <c r="AC144" s="52">
        <f t="shared" si="39"/>
        <v>0.6425616981132074</v>
      </c>
      <c r="AD144" s="52">
        <f t="shared" si="40"/>
        <v>69.127285196338221</v>
      </c>
      <c r="AE144" s="62">
        <f t="shared" si="41"/>
        <v>48.38909963743675</v>
      </c>
    </row>
    <row r="145" spans="1:31" x14ac:dyDescent="0.3">
      <c r="A145" t="s">
        <v>240</v>
      </c>
      <c r="B145" t="s">
        <v>239</v>
      </c>
      <c r="C145" t="s">
        <v>61</v>
      </c>
      <c r="D145">
        <v>2</v>
      </c>
      <c r="E145" s="52">
        <v>869</v>
      </c>
      <c r="F145" s="53">
        <v>0.38904099999999997</v>
      </c>
      <c r="G145" s="54">
        <v>4056.9195479999998</v>
      </c>
      <c r="H145" s="52">
        <v>246</v>
      </c>
      <c r="I145" s="53">
        <v>0.38904099999999997</v>
      </c>
      <c r="J145" s="52">
        <v>135</v>
      </c>
      <c r="K145" s="52">
        <v>305</v>
      </c>
      <c r="L145" s="52">
        <f t="shared" si="28"/>
        <v>170</v>
      </c>
      <c r="M145" s="52">
        <f t="shared" si="29"/>
        <v>111</v>
      </c>
      <c r="N145" s="55">
        <f t="shared" si="30"/>
        <v>0.62235294117647066</v>
      </c>
      <c r="O145" s="56">
        <f t="shared" si="31"/>
        <v>0.38904099999999997</v>
      </c>
      <c r="V145" s="54">
        <f t="shared" si="32"/>
        <v>135</v>
      </c>
      <c r="W145" s="52">
        <f t="shared" si="33"/>
        <v>212.5</v>
      </c>
      <c r="X145" s="52">
        <f t="shared" si="34"/>
        <v>113.75</v>
      </c>
      <c r="Y145" s="55">
        <f t="shared" si="35"/>
        <v>-134.25574930502907</v>
      </c>
      <c r="Z145" s="55">
        <f t="shared" si="36"/>
        <v>171.07294035885772</v>
      </c>
      <c r="AA145" s="55">
        <f t="shared" si="37"/>
        <v>171.07294035885772</v>
      </c>
      <c r="AB145" s="52">
        <f t="shared" si="38"/>
        <v>0.2697550134534481</v>
      </c>
      <c r="AC145" s="52">
        <f t="shared" si="39"/>
        <v>0.63711588235294125</v>
      </c>
      <c r="AD145" s="52">
        <f t="shared" si="40"/>
        <v>108.99328734344573</v>
      </c>
      <c r="AE145" s="62">
        <f t="shared" si="41"/>
        <v>76.295301140412008</v>
      </c>
    </row>
    <row r="146" spans="1:31" x14ac:dyDescent="0.3">
      <c r="A146" t="s">
        <v>241</v>
      </c>
      <c r="B146" t="s">
        <v>239</v>
      </c>
      <c r="C146" t="s">
        <v>70</v>
      </c>
      <c r="D146">
        <v>1</v>
      </c>
      <c r="E146" s="52">
        <v>925</v>
      </c>
      <c r="F146" s="53">
        <v>0.41643799999999997</v>
      </c>
      <c r="G146" s="54">
        <v>4622.4618</v>
      </c>
      <c r="H146" s="52">
        <v>207</v>
      </c>
      <c r="I146" s="53">
        <v>0.41643799999999997</v>
      </c>
      <c r="J146" s="52">
        <v>125</v>
      </c>
      <c r="K146" s="52">
        <v>288</v>
      </c>
      <c r="L146" s="52">
        <f t="shared" si="28"/>
        <v>163</v>
      </c>
      <c r="M146" s="52">
        <f t="shared" si="29"/>
        <v>82</v>
      </c>
      <c r="N146" s="55">
        <f t="shared" si="30"/>
        <v>0.50245398773006145</v>
      </c>
      <c r="O146" s="56">
        <f t="shared" si="31"/>
        <v>0.41643799999999997</v>
      </c>
      <c r="V146" s="54">
        <f t="shared" si="32"/>
        <v>125</v>
      </c>
      <c r="W146" s="52">
        <f t="shared" si="33"/>
        <v>203.75</v>
      </c>
      <c r="X146" s="52">
        <f t="shared" si="34"/>
        <v>104.625</v>
      </c>
      <c r="Y146" s="55">
        <f t="shared" si="35"/>
        <v>-128.72757139246903</v>
      </c>
      <c r="Z146" s="55">
        <f t="shared" si="36"/>
        <v>161.80817222643415</v>
      </c>
      <c r="AA146" s="55">
        <f t="shared" si="37"/>
        <v>161.80817222643415</v>
      </c>
      <c r="AB146" s="52">
        <f t="shared" si="38"/>
        <v>0.28065360601930872</v>
      </c>
      <c r="AC146" s="52">
        <f t="shared" si="39"/>
        <v>0.62849073619631912</v>
      </c>
      <c r="AD146" s="52">
        <f t="shared" si="40"/>
        <v>101.6949372851724</v>
      </c>
      <c r="AE146" s="62">
        <f t="shared" si="41"/>
        <v>71.186456099620671</v>
      </c>
    </row>
    <row r="147" spans="1:31" x14ac:dyDescent="0.3">
      <c r="A147" t="s">
        <v>242</v>
      </c>
      <c r="B147" t="s">
        <v>239</v>
      </c>
      <c r="C147" t="s">
        <v>70</v>
      </c>
      <c r="D147">
        <v>2</v>
      </c>
      <c r="E147" s="52">
        <v>1350</v>
      </c>
      <c r="F147" s="53">
        <v>0.48493200000000003</v>
      </c>
      <c r="G147" s="54">
        <v>7855.8984</v>
      </c>
      <c r="H147" s="52">
        <v>224</v>
      </c>
      <c r="I147" s="53">
        <v>0.48493200000000003</v>
      </c>
      <c r="J147" s="52">
        <v>119</v>
      </c>
      <c r="K147" s="52">
        <v>360</v>
      </c>
      <c r="L147" s="52">
        <f t="shared" si="28"/>
        <v>241</v>
      </c>
      <c r="M147" s="52">
        <f t="shared" si="29"/>
        <v>105</v>
      </c>
      <c r="N147" s="55">
        <f t="shared" si="30"/>
        <v>0.44854771784232361</v>
      </c>
      <c r="O147" s="56">
        <f t="shared" si="31"/>
        <v>0.48493200000000003</v>
      </c>
      <c r="V147" s="54">
        <f t="shared" si="32"/>
        <v>119</v>
      </c>
      <c r="W147" s="52">
        <f t="shared" si="33"/>
        <v>301.25</v>
      </c>
      <c r="X147" s="52">
        <f t="shared" si="34"/>
        <v>88.875</v>
      </c>
      <c r="Y147" s="55">
        <f t="shared" si="35"/>
        <v>-190.32726813242357</v>
      </c>
      <c r="Z147" s="55">
        <f t="shared" si="36"/>
        <v>206.32987427343951</v>
      </c>
      <c r="AA147" s="55">
        <f t="shared" si="37"/>
        <v>206.32987427343951</v>
      </c>
      <c r="AB147" s="52">
        <f t="shared" si="38"/>
        <v>0.38989169883299424</v>
      </c>
      <c r="AC147" s="52">
        <f t="shared" si="39"/>
        <v>0.54203970954356839</v>
      </c>
      <c r="AD147" s="52">
        <f t="shared" si="40"/>
        <v>111.83898512133614</v>
      </c>
      <c r="AE147" s="62">
        <f t="shared" si="41"/>
        <v>78.287289584935294</v>
      </c>
    </row>
    <row r="148" spans="1:31" x14ac:dyDescent="0.3">
      <c r="A148" t="s">
        <v>243</v>
      </c>
      <c r="B148" t="s">
        <v>244</v>
      </c>
      <c r="C148" t="s">
        <v>61</v>
      </c>
      <c r="D148">
        <v>1</v>
      </c>
      <c r="E148" s="52">
        <v>900</v>
      </c>
      <c r="F148" s="53">
        <v>0.55068499999999998</v>
      </c>
      <c r="G148" s="54">
        <v>5947.3980000000001</v>
      </c>
      <c r="H148" s="52">
        <v>139</v>
      </c>
      <c r="I148" s="53">
        <v>0.55068499999999998</v>
      </c>
      <c r="J148" s="52">
        <v>89</v>
      </c>
      <c r="K148" s="52">
        <v>177</v>
      </c>
      <c r="L148" s="52">
        <f t="shared" si="28"/>
        <v>88</v>
      </c>
      <c r="M148" s="52">
        <f t="shared" si="29"/>
        <v>50</v>
      </c>
      <c r="N148" s="55">
        <f t="shared" si="30"/>
        <v>0.55454545454545456</v>
      </c>
      <c r="O148" s="56">
        <f t="shared" si="31"/>
        <v>0.55068499999999998</v>
      </c>
      <c r="V148" s="54">
        <f t="shared" si="32"/>
        <v>89</v>
      </c>
      <c r="W148" s="52">
        <f t="shared" si="33"/>
        <v>110</v>
      </c>
      <c r="X148" s="52">
        <f t="shared" si="34"/>
        <v>78</v>
      </c>
      <c r="Y148" s="55">
        <f t="shared" si="35"/>
        <v>-69.497093757897403</v>
      </c>
      <c r="Z148" s="55">
        <f t="shared" si="36"/>
        <v>98.114227950467537</v>
      </c>
      <c r="AA148" s="55">
        <f t="shared" si="37"/>
        <v>98.114227950467537</v>
      </c>
      <c r="AB148" s="52">
        <f t="shared" si="38"/>
        <v>0.18285661773152306</v>
      </c>
      <c r="AC148" s="52">
        <f t="shared" si="39"/>
        <v>0.7058872727272727</v>
      </c>
      <c r="AD148" s="52">
        <f t="shared" si="40"/>
        <v>69.257584783697482</v>
      </c>
      <c r="AE148" s="62">
        <f t="shared" si="41"/>
        <v>48.480309348588236</v>
      </c>
    </row>
    <row r="149" spans="1:31" x14ac:dyDescent="0.3">
      <c r="A149" t="s">
        <v>245</v>
      </c>
      <c r="B149" t="s">
        <v>218</v>
      </c>
      <c r="C149" t="s">
        <v>70</v>
      </c>
      <c r="D149">
        <v>2</v>
      </c>
      <c r="E149" s="52">
        <v>3200</v>
      </c>
      <c r="F149" s="53">
        <v>0.816438</v>
      </c>
      <c r="G149" s="54">
        <v>31351.2192</v>
      </c>
      <c r="H149" s="52">
        <v>325</v>
      </c>
      <c r="I149" s="53">
        <v>0.816438</v>
      </c>
      <c r="J149" s="52">
        <v>195</v>
      </c>
      <c r="K149" s="52">
        <v>844</v>
      </c>
      <c r="L149" s="52">
        <f t="shared" si="28"/>
        <v>649</v>
      </c>
      <c r="M149" s="52">
        <f t="shared" si="29"/>
        <v>130</v>
      </c>
      <c r="N149" s="55">
        <f t="shared" si="30"/>
        <v>0.26024653312788903</v>
      </c>
      <c r="O149" s="56">
        <f t="shared" si="31"/>
        <v>0.816438</v>
      </c>
      <c r="V149" s="54">
        <f t="shared" si="32"/>
        <v>195</v>
      </c>
      <c r="W149" s="52">
        <f t="shared" si="33"/>
        <v>811.25</v>
      </c>
      <c r="X149" s="52">
        <f t="shared" si="34"/>
        <v>113.875</v>
      </c>
      <c r="Y149" s="55">
        <f t="shared" si="35"/>
        <v>-512.54106646449327</v>
      </c>
      <c r="Z149" s="55">
        <f t="shared" si="36"/>
        <v>492.90493113469802</v>
      </c>
      <c r="AA149" s="55">
        <f t="shared" si="37"/>
        <v>492.90493113469802</v>
      </c>
      <c r="AB149" s="52">
        <f t="shared" si="38"/>
        <v>0.46721717243106076</v>
      </c>
      <c r="AC149" s="52">
        <f t="shared" si="39"/>
        <v>0.48084432973805852</v>
      </c>
      <c r="AD149" s="52">
        <f t="shared" si="40"/>
        <v>237.01054123604777</v>
      </c>
      <c r="AE149" s="62">
        <f t="shared" si="41"/>
        <v>165.90737886523343</v>
      </c>
    </row>
    <row r="150" spans="1:31" x14ac:dyDescent="0.3">
      <c r="A150" t="s">
        <v>246</v>
      </c>
      <c r="B150" t="s">
        <v>244</v>
      </c>
      <c r="C150" t="s">
        <v>61</v>
      </c>
      <c r="D150">
        <v>2</v>
      </c>
      <c r="E150" s="52">
        <v>1325</v>
      </c>
      <c r="F150" s="53">
        <v>0.29315099999999999</v>
      </c>
      <c r="G150" s="54">
        <v>4661.1009000000004</v>
      </c>
      <c r="H150" s="52">
        <v>283</v>
      </c>
      <c r="I150" s="53">
        <v>0.29315099999999999</v>
      </c>
      <c r="J150" s="52">
        <v>161</v>
      </c>
      <c r="K150" s="52">
        <v>319</v>
      </c>
      <c r="L150" s="52">
        <f t="shared" si="28"/>
        <v>158</v>
      </c>
      <c r="M150" s="52">
        <f t="shared" si="29"/>
        <v>122</v>
      </c>
      <c r="N150" s="55">
        <f t="shared" si="30"/>
        <v>0.71772151898734182</v>
      </c>
      <c r="O150" s="56">
        <f t="shared" si="31"/>
        <v>0.29315099999999999</v>
      </c>
      <c r="V150" s="54">
        <f t="shared" si="32"/>
        <v>161</v>
      </c>
      <c r="W150" s="52">
        <f t="shared" si="33"/>
        <v>197.5</v>
      </c>
      <c r="X150" s="52">
        <f t="shared" si="34"/>
        <v>141.25</v>
      </c>
      <c r="Y150" s="55">
        <f t="shared" si="35"/>
        <v>-124.7788728834976</v>
      </c>
      <c r="Z150" s="55">
        <f t="shared" si="36"/>
        <v>176.76190927470307</v>
      </c>
      <c r="AA150" s="55">
        <f t="shared" si="37"/>
        <v>176.76190927470307</v>
      </c>
      <c r="AB150" s="52">
        <f t="shared" si="38"/>
        <v>0.17980713556811681</v>
      </c>
      <c r="AC150" s="52">
        <f t="shared" si="39"/>
        <v>0.70830063291139234</v>
      </c>
      <c r="AD150" s="52">
        <f t="shared" si="40"/>
        <v>125.2005722138983</v>
      </c>
      <c r="AE150" s="62">
        <f t="shared" si="41"/>
        <v>87.64040054972881</v>
      </c>
    </row>
    <row r="151" spans="1:31" x14ac:dyDescent="0.3">
      <c r="A151" t="s">
        <v>247</v>
      </c>
      <c r="B151" t="s">
        <v>244</v>
      </c>
      <c r="C151" t="s">
        <v>70</v>
      </c>
      <c r="D151">
        <v>1</v>
      </c>
      <c r="E151" s="52">
        <v>975</v>
      </c>
      <c r="F151" s="53">
        <v>0.50136999999999998</v>
      </c>
      <c r="G151" s="54">
        <v>5866.0289999999995</v>
      </c>
      <c r="H151" s="52">
        <v>192</v>
      </c>
      <c r="I151" s="53">
        <v>0.50136999999999998</v>
      </c>
      <c r="J151" s="52">
        <v>145</v>
      </c>
      <c r="K151" s="52">
        <v>300</v>
      </c>
      <c r="L151" s="52">
        <f t="shared" si="28"/>
        <v>155</v>
      </c>
      <c r="M151" s="52">
        <f t="shared" si="29"/>
        <v>47</v>
      </c>
      <c r="N151" s="55">
        <f t="shared" si="30"/>
        <v>0.34258064516129033</v>
      </c>
      <c r="O151" s="56">
        <f t="shared" si="31"/>
        <v>0.50136999999999998</v>
      </c>
      <c r="V151" s="54">
        <f t="shared" si="32"/>
        <v>145</v>
      </c>
      <c r="W151" s="52">
        <f t="shared" si="33"/>
        <v>193.75</v>
      </c>
      <c r="X151" s="52">
        <f t="shared" si="34"/>
        <v>125.625</v>
      </c>
      <c r="Y151" s="55">
        <f t="shared" si="35"/>
        <v>-122.40965377811473</v>
      </c>
      <c r="Z151" s="55">
        <f t="shared" si="36"/>
        <v>166.9341515036644</v>
      </c>
      <c r="AA151" s="55">
        <f t="shared" si="37"/>
        <v>166.9341515036644</v>
      </c>
      <c r="AB151" s="52">
        <f t="shared" si="38"/>
        <v>0.21320852388988076</v>
      </c>
      <c r="AC151" s="52">
        <f t="shared" si="39"/>
        <v>0.68186677419354835</v>
      </c>
      <c r="AD151" s="52">
        <f t="shared" si="40"/>
        <v>113.82685138854072</v>
      </c>
      <c r="AE151" s="62">
        <f t="shared" si="41"/>
        <v>79.678795971978502</v>
      </c>
    </row>
    <row r="152" spans="1:31" x14ac:dyDescent="0.3">
      <c r="A152" t="s">
        <v>248</v>
      </c>
      <c r="B152" t="s">
        <v>244</v>
      </c>
      <c r="C152" t="s">
        <v>70</v>
      </c>
      <c r="D152">
        <v>2</v>
      </c>
      <c r="E152" s="52">
        <v>1550</v>
      </c>
      <c r="F152" s="53">
        <v>0.30137000000000003</v>
      </c>
      <c r="G152" s="54">
        <v>5605.4820000000009</v>
      </c>
      <c r="H152" s="52">
        <v>307</v>
      </c>
      <c r="I152" s="53">
        <v>0.30137000000000003</v>
      </c>
      <c r="J152" s="52">
        <v>185</v>
      </c>
      <c r="K152" s="52">
        <v>376</v>
      </c>
      <c r="L152" s="52">
        <f t="shared" si="28"/>
        <v>191</v>
      </c>
      <c r="M152" s="52">
        <f t="shared" si="29"/>
        <v>122</v>
      </c>
      <c r="N152" s="55">
        <f t="shared" si="30"/>
        <v>0.61099476439790579</v>
      </c>
      <c r="O152" s="56">
        <f t="shared" si="31"/>
        <v>0.30137000000000003</v>
      </c>
      <c r="V152" s="54">
        <f t="shared" si="32"/>
        <v>185</v>
      </c>
      <c r="W152" s="52">
        <f t="shared" si="33"/>
        <v>238.75</v>
      </c>
      <c r="X152" s="52">
        <f t="shared" si="34"/>
        <v>161.125</v>
      </c>
      <c r="Y152" s="55">
        <f t="shared" si="35"/>
        <v>-150.84028304270913</v>
      </c>
      <c r="Z152" s="55">
        <f t="shared" si="36"/>
        <v>208.8672447561284</v>
      </c>
      <c r="AA152" s="55">
        <f t="shared" si="37"/>
        <v>208.8672447561284</v>
      </c>
      <c r="AB152" s="52">
        <f t="shared" si="38"/>
        <v>0.1999675173031556</v>
      </c>
      <c r="AC152" s="52">
        <f t="shared" si="39"/>
        <v>0.69234570680628271</v>
      </c>
      <c r="AD152" s="52">
        <f t="shared" si="40"/>
        <v>144.60834019936257</v>
      </c>
      <c r="AE152" s="62">
        <f t="shared" si="41"/>
        <v>101.2258381395538</v>
      </c>
    </row>
    <row r="153" spans="1:31" x14ac:dyDescent="0.3">
      <c r="A153" t="s">
        <v>249</v>
      </c>
      <c r="B153" t="s">
        <v>250</v>
      </c>
      <c r="C153" t="s">
        <v>61</v>
      </c>
      <c r="D153">
        <v>1</v>
      </c>
      <c r="E153" s="52">
        <v>1165</v>
      </c>
      <c r="F153" s="53">
        <v>0.34246599999999999</v>
      </c>
      <c r="G153" s="54">
        <v>4787.6746800000001</v>
      </c>
      <c r="H153" s="52">
        <v>180</v>
      </c>
      <c r="I153" s="53">
        <v>0.34246599999999999</v>
      </c>
      <c r="J153" s="52">
        <v>135</v>
      </c>
      <c r="K153" s="52">
        <v>220</v>
      </c>
      <c r="L153" s="52">
        <f t="shared" si="28"/>
        <v>85</v>
      </c>
      <c r="M153" s="52">
        <f t="shared" si="29"/>
        <v>45</v>
      </c>
      <c r="N153" s="55">
        <f t="shared" si="30"/>
        <v>0.52352941176470591</v>
      </c>
      <c r="O153" s="56">
        <f t="shared" si="31"/>
        <v>0.34246599999999999</v>
      </c>
      <c r="V153" s="54">
        <f t="shared" si="32"/>
        <v>135</v>
      </c>
      <c r="W153" s="52">
        <f t="shared" si="33"/>
        <v>106.25</v>
      </c>
      <c r="X153" s="52">
        <f t="shared" si="34"/>
        <v>124.375</v>
      </c>
      <c r="Y153" s="55">
        <f t="shared" si="35"/>
        <v>-67.127874652514535</v>
      </c>
      <c r="Z153" s="55">
        <f t="shared" si="36"/>
        <v>119.28647017942887</v>
      </c>
      <c r="AA153" s="55">
        <f t="shared" si="37"/>
        <v>135</v>
      </c>
      <c r="AB153" s="52">
        <f t="shared" si="38"/>
        <v>0.1</v>
      </c>
      <c r="AC153" s="52">
        <f t="shared" si="39"/>
        <v>0.77146000000000003</v>
      </c>
      <c r="AD153" s="52">
        <f t="shared" si="40"/>
        <v>104.14710000000001</v>
      </c>
      <c r="AE153" s="62">
        <f t="shared" si="41"/>
        <v>72.902969999999996</v>
      </c>
    </row>
    <row r="154" spans="1:31" x14ac:dyDescent="0.3">
      <c r="A154" t="s">
        <v>251</v>
      </c>
      <c r="B154" t="s">
        <v>250</v>
      </c>
      <c r="C154" t="s">
        <v>61</v>
      </c>
      <c r="D154">
        <v>2</v>
      </c>
      <c r="E154" s="52">
        <v>1625</v>
      </c>
      <c r="F154" s="53">
        <v>0.6</v>
      </c>
      <c r="G154" s="54">
        <v>11700</v>
      </c>
      <c r="H154" s="52">
        <v>260</v>
      </c>
      <c r="I154" s="53">
        <v>0.6</v>
      </c>
      <c r="J154" s="52">
        <v>220</v>
      </c>
      <c r="K154" s="52">
        <v>312</v>
      </c>
      <c r="L154" s="52">
        <f t="shared" si="28"/>
        <v>92</v>
      </c>
      <c r="M154" s="52">
        <f t="shared" si="29"/>
        <v>40</v>
      </c>
      <c r="N154" s="55">
        <f t="shared" si="30"/>
        <v>0.44782608695652171</v>
      </c>
      <c r="O154" s="56">
        <f t="shared" si="31"/>
        <v>0.6</v>
      </c>
      <c r="V154" s="54">
        <f t="shared" si="32"/>
        <v>220</v>
      </c>
      <c r="W154" s="52">
        <f t="shared" si="33"/>
        <v>115</v>
      </c>
      <c r="X154" s="52">
        <f t="shared" si="34"/>
        <v>208.5</v>
      </c>
      <c r="Y154" s="55">
        <f t="shared" si="35"/>
        <v>-72.656052565074546</v>
      </c>
      <c r="Z154" s="55">
        <f t="shared" si="36"/>
        <v>166.05123831185242</v>
      </c>
      <c r="AA154" s="55">
        <f t="shared" si="37"/>
        <v>220</v>
      </c>
      <c r="AB154" s="52">
        <f t="shared" si="38"/>
        <v>0.1</v>
      </c>
      <c r="AC154" s="52">
        <f t="shared" si="39"/>
        <v>0.77146000000000003</v>
      </c>
      <c r="AD154" s="52">
        <f t="shared" si="40"/>
        <v>169.72120000000001</v>
      </c>
      <c r="AE154" s="62">
        <f t="shared" si="41"/>
        <v>118.80484</v>
      </c>
    </row>
    <row r="155" spans="1:31" x14ac:dyDescent="0.3">
      <c r="A155" t="s">
        <v>252</v>
      </c>
      <c r="B155" t="s">
        <v>250</v>
      </c>
      <c r="C155" t="s">
        <v>70</v>
      </c>
      <c r="D155">
        <v>1</v>
      </c>
      <c r="E155" s="52">
        <v>1400</v>
      </c>
      <c r="F155" s="53">
        <v>0.49863000000000002</v>
      </c>
      <c r="G155" s="54">
        <v>8376.9840000000004</v>
      </c>
      <c r="H155" s="52">
        <v>232</v>
      </c>
      <c r="I155" s="53">
        <v>0.49863000000000002</v>
      </c>
      <c r="J155" s="52">
        <v>135</v>
      </c>
      <c r="K155" s="52">
        <v>287</v>
      </c>
      <c r="L155" s="52">
        <f t="shared" si="28"/>
        <v>152</v>
      </c>
      <c r="M155" s="52">
        <f t="shared" si="29"/>
        <v>97</v>
      </c>
      <c r="N155" s="55">
        <f t="shared" si="30"/>
        <v>0.61052631578947369</v>
      </c>
      <c r="O155" s="56">
        <f t="shared" si="31"/>
        <v>0.49863000000000002</v>
      </c>
      <c r="V155" s="54">
        <f t="shared" si="32"/>
        <v>135</v>
      </c>
      <c r="W155" s="52">
        <f t="shared" si="33"/>
        <v>190</v>
      </c>
      <c r="X155" s="52">
        <f t="shared" si="34"/>
        <v>116</v>
      </c>
      <c r="Y155" s="55">
        <f t="shared" si="35"/>
        <v>-120.04043467273186</v>
      </c>
      <c r="Z155" s="55">
        <f t="shared" si="36"/>
        <v>160.10639373262572</v>
      </c>
      <c r="AA155" s="55">
        <f t="shared" si="37"/>
        <v>160.10639373262572</v>
      </c>
      <c r="AB155" s="52">
        <f t="shared" si="38"/>
        <v>0.23213891438224063</v>
      </c>
      <c r="AC155" s="52">
        <f t="shared" si="39"/>
        <v>0.66688526315789476</v>
      </c>
      <c r="AD155" s="52">
        <f t="shared" si="40"/>
        <v>106.77259451764361</v>
      </c>
      <c r="AE155" s="62">
        <f t="shared" si="41"/>
        <v>74.740816162350526</v>
      </c>
    </row>
    <row r="156" spans="1:31" x14ac:dyDescent="0.3">
      <c r="A156" t="s">
        <v>253</v>
      </c>
      <c r="B156" t="s">
        <v>250</v>
      </c>
      <c r="C156" t="s">
        <v>70</v>
      </c>
      <c r="D156">
        <v>2</v>
      </c>
      <c r="E156" s="52">
        <v>1995</v>
      </c>
      <c r="F156" s="53">
        <v>0.63835600000000003</v>
      </c>
      <c r="G156" s="54">
        <v>15282.24264</v>
      </c>
      <c r="H156" s="52">
        <v>292</v>
      </c>
      <c r="I156" s="53">
        <v>0.63835600000000003</v>
      </c>
      <c r="J156" s="52">
        <v>224</v>
      </c>
      <c r="K156" s="52">
        <v>331</v>
      </c>
      <c r="L156" s="52">
        <f t="shared" si="28"/>
        <v>107</v>
      </c>
      <c r="M156" s="52">
        <f t="shared" si="29"/>
        <v>68</v>
      </c>
      <c r="N156" s="55">
        <f t="shared" si="30"/>
        <v>0.60841121495327111</v>
      </c>
      <c r="O156" s="56">
        <f t="shared" si="31"/>
        <v>0.63835600000000003</v>
      </c>
      <c r="V156" s="54">
        <f t="shared" si="32"/>
        <v>224</v>
      </c>
      <c r="W156" s="52">
        <f t="shared" si="33"/>
        <v>133.75</v>
      </c>
      <c r="X156" s="52">
        <f t="shared" si="34"/>
        <v>210.625</v>
      </c>
      <c r="Y156" s="55">
        <f t="shared" si="35"/>
        <v>-84.502148091988886</v>
      </c>
      <c r="Z156" s="55">
        <f t="shared" si="36"/>
        <v>177.19002716704577</v>
      </c>
      <c r="AA156" s="55">
        <f t="shared" si="37"/>
        <v>224</v>
      </c>
      <c r="AB156" s="52">
        <f t="shared" si="38"/>
        <v>0.1</v>
      </c>
      <c r="AC156" s="52">
        <f t="shared" si="39"/>
        <v>0.77146000000000003</v>
      </c>
      <c r="AD156" s="52">
        <f t="shared" si="40"/>
        <v>172.80704</v>
      </c>
      <c r="AE156" s="62">
        <f t="shared" si="41"/>
        <v>120.96492799999999</v>
      </c>
    </row>
    <row r="157" spans="1:31" x14ac:dyDescent="0.3">
      <c r="A157" t="s">
        <v>254</v>
      </c>
      <c r="B157" t="s">
        <v>255</v>
      </c>
      <c r="C157" t="s">
        <v>61</v>
      </c>
      <c r="D157">
        <v>1</v>
      </c>
      <c r="E157" s="52">
        <v>760</v>
      </c>
      <c r="F157" s="53">
        <v>0.29041099999999997</v>
      </c>
      <c r="G157" s="54">
        <v>2648.5483199999999</v>
      </c>
      <c r="H157" s="52">
        <v>169</v>
      </c>
      <c r="I157" s="53">
        <v>0.29041099999999997</v>
      </c>
      <c r="J157" s="52">
        <v>100</v>
      </c>
      <c r="K157" s="52">
        <v>195</v>
      </c>
      <c r="L157" s="52">
        <f t="shared" si="28"/>
        <v>95</v>
      </c>
      <c r="M157" s="52">
        <f t="shared" si="29"/>
        <v>69</v>
      </c>
      <c r="N157" s="55">
        <f t="shared" si="30"/>
        <v>0.68105263157894735</v>
      </c>
      <c r="O157" s="56">
        <f t="shared" si="31"/>
        <v>0.29041099999999997</v>
      </c>
      <c r="V157" s="54">
        <f t="shared" si="32"/>
        <v>100</v>
      </c>
      <c r="W157" s="52">
        <f t="shared" si="33"/>
        <v>118.75</v>
      </c>
      <c r="X157" s="52">
        <f t="shared" si="34"/>
        <v>88.125</v>
      </c>
      <c r="Y157" s="55">
        <f t="shared" si="35"/>
        <v>-75.025271670457414</v>
      </c>
      <c r="Z157" s="55">
        <f t="shared" si="36"/>
        <v>107.87899608289108</v>
      </c>
      <c r="AA157" s="55">
        <f t="shared" si="37"/>
        <v>107.87899608289108</v>
      </c>
      <c r="AB157" s="52">
        <f t="shared" si="38"/>
        <v>0.16634944069803012</v>
      </c>
      <c r="AC157" s="52">
        <f t="shared" si="39"/>
        <v>0.71895105263157899</v>
      </c>
      <c r="AD157" s="52">
        <f t="shared" si="40"/>
        <v>77.559717790632533</v>
      </c>
      <c r="AE157" s="62">
        <f t="shared" si="41"/>
        <v>54.29180245344277</v>
      </c>
    </row>
    <row r="158" spans="1:31" x14ac:dyDescent="0.3">
      <c r="A158" t="s">
        <v>256</v>
      </c>
      <c r="B158" t="s">
        <v>255</v>
      </c>
      <c r="C158" t="s">
        <v>61</v>
      </c>
      <c r="D158">
        <v>2</v>
      </c>
      <c r="E158" s="52">
        <v>965</v>
      </c>
      <c r="F158" s="53">
        <v>0.53972600000000004</v>
      </c>
      <c r="G158" s="54">
        <v>6250.0270800000008</v>
      </c>
      <c r="H158" s="52">
        <v>189</v>
      </c>
      <c r="I158" s="53">
        <v>0.53972600000000004</v>
      </c>
      <c r="J158" s="52">
        <v>135</v>
      </c>
      <c r="K158" s="52">
        <v>284</v>
      </c>
      <c r="L158" s="52">
        <f t="shared" si="28"/>
        <v>149</v>
      </c>
      <c r="M158" s="52">
        <f t="shared" si="29"/>
        <v>54</v>
      </c>
      <c r="N158" s="55">
        <f t="shared" si="30"/>
        <v>0.38993288590604025</v>
      </c>
      <c r="O158" s="56">
        <f t="shared" si="31"/>
        <v>0.53972600000000004</v>
      </c>
      <c r="V158" s="54">
        <f t="shared" si="32"/>
        <v>135</v>
      </c>
      <c r="W158" s="52">
        <f t="shared" si="33"/>
        <v>186.25</v>
      </c>
      <c r="X158" s="52">
        <f t="shared" si="34"/>
        <v>116.375</v>
      </c>
      <c r="Y158" s="55">
        <f t="shared" si="35"/>
        <v>-117.67121556734901</v>
      </c>
      <c r="Z158" s="55">
        <f t="shared" si="36"/>
        <v>158.27863596158707</v>
      </c>
      <c r="AA158" s="55">
        <f t="shared" si="37"/>
        <v>158.27863596158707</v>
      </c>
      <c r="AB158" s="52">
        <f t="shared" si="38"/>
        <v>0.22498596489442724</v>
      </c>
      <c r="AC158" s="52">
        <f t="shared" si="39"/>
        <v>0.67254610738255027</v>
      </c>
      <c r="AD158" s="52">
        <f t="shared" si="40"/>
        <v>106.44968049778512</v>
      </c>
      <c r="AE158" s="62">
        <f t="shared" si="41"/>
        <v>74.514776348449587</v>
      </c>
    </row>
    <row r="159" spans="1:31" x14ac:dyDescent="0.3">
      <c r="A159" t="s">
        <v>257</v>
      </c>
      <c r="B159" t="s">
        <v>255</v>
      </c>
      <c r="C159" t="s">
        <v>70</v>
      </c>
      <c r="D159">
        <v>1</v>
      </c>
      <c r="E159" s="52">
        <v>1185</v>
      </c>
      <c r="F159" s="53">
        <v>0.27945199999999998</v>
      </c>
      <c r="G159" s="54">
        <v>3973.8074399999996</v>
      </c>
      <c r="H159" s="52">
        <v>289</v>
      </c>
      <c r="I159" s="53">
        <v>0.27945199999999998</v>
      </c>
      <c r="J159" s="52">
        <v>157</v>
      </c>
      <c r="K159" s="52">
        <v>320</v>
      </c>
      <c r="L159" s="52">
        <f t="shared" si="28"/>
        <v>163</v>
      </c>
      <c r="M159" s="52">
        <f t="shared" si="29"/>
        <v>132</v>
      </c>
      <c r="N159" s="55">
        <f t="shared" si="30"/>
        <v>0.74785276073619633</v>
      </c>
      <c r="O159" s="56">
        <f t="shared" si="31"/>
        <v>0.27945199999999998</v>
      </c>
      <c r="V159" s="54">
        <f t="shared" si="32"/>
        <v>157</v>
      </c>
      <c r="W159" s="52">
        <f t="shared" si="33"/>
        <v>203.75</v>
      </c>
      <c r="X159" s="52">
        <f t="shared" si="34"/>
        <v>136.625</v>
      </c>
      <c r="Y159" s="55">
        <f t="shared" si="35"/>
        <v>-128.72757139246903</v>
      </c>
      <c r="Z159" s="55">
        <f t="shared" si="36"/>
        <v>177.80817222643415</v>
      </c>
      <c r="AA159" s="55">
        <f t="shared" si="37"/>
        <v>177.80817222643415</v>
      </c>
      <c r="AB159" s="52">
        <f t="shared" si="38"/>
        <v>0.20212599865734554</v>
      </c>
      <c r="AC159" s="52">
        <f t="shared" si="39"/>
        <v>0.69063748466257679</v>
      </c>
      <c r="AD159" s="52">
        <f t="shared" si="40"/>
        <v>122.80098881891473</v>
      </c>
      <c r="AE159" s="62">
        <f t="shared" si="41"/>
        <v>85.960692173240304</v>
      </c>
    </row>
    <row r="160" spans="1:31" x14ac:dyDescent="0.3">
      <c r="A160" t="s">
        <v>258</v>
      </c>
      <c r="B160" t="s">
        <v>218</v>
      </c>
      <c r="C160" t="s">
        <v>61</v>
      </c>
      <c r="D160">
        <v>1</v>
      </c>
      <c r="E160" s="52">
        <v>1700</v>
      </c>
      <c r="F160" s="53">
        <v>0.67671199999999998</v>
      </c>
      <c r="G160" s="54">
        <v>13804.924799999999</v>
      </c>
      <c r="H160" s="52">
        <v>239</v>
      </c>
      <c r="I160" s="53">
        <v>0.67671199999999998</v>
      </c>
      <c r="J160" s="52">
        <v>98</v>
      </c>
      <c r="K160" s="52">
        <v>430</v>
      </c>
      <c r="L160" s="52">
        <f t="shared" si="28"/>
        <v>332</v>
      </c>
      <c r="M160" s="52">
        <f t="shared" si="29"/>
        <v>141</v>
      </c>
      <c r="N160" s="55">
        <f t="shared" si="30"/>
        <v>0.43975903614457834</v>
      </c>
      <c r="O160" s="56">
        <f t="shared" si="31"/>
        <v>0.67671199999999998</v>
      </c>
      <c r="V160" s="54">
        <f t="shared" si="32"/>
        <v>98</v>
      </c>
      <c r="W160" s="52">
        <f t="shared" si="33"/>
        <v>415</v>
      </c>
      <c r="X160" s="52">
        <f t="shared" si="34"/>
        <v>56.5</v>
      </c>
      <c r="Y160" s="55">
        <f t="shared" si="35"/>
        <v>-262.19358099570383</v>
      </c>
      <c r="Z160" s="55">
        <f t="shared" si="36"/>
        <v>251.27185999494569</v>
      </c>
      <c r="AA160" s="55">
        <f t="shared" si="37"/>
        <v>251.27185999494569</v>
      </c>
      <c r="AB160" s="52">
        <f t="shared" si="38"/>
        <v>0.46932978312035106</v>
      </c>
      <c r="AC160" s="52">
        <f t="shared" si="39"/>
        <v>0.47917240963855418</v>
      </c>
      <c r="AD160" s="52">
        <f t="shared" si="40"/>
        <v>120.40254262813954</v>
      </c>
      <c r="AE160" s="62">
        <f t="shared" si="41"/>
        <v>84.281779839697677</v>
      </c>
    </row>
    <row r="161" spans="1:31" x14ac:dyDescent="0.3">
      <c r="A161" t="s">
        <v>259</v>
      </c>
      <c r="B161" t="s">
        <v>255</v>
      </c>
      <c r="C161" t="s">
        <v>70</v>
      </c>
      <c r="D161">
        <v>2</v>
      </c>
      <c r="E161" s="52">
        <v>1340</v>
      </c>
      <c r="F161" s="53">
        <v>0.38904099999999997</v>
      </c>
      <c r="G161" s="54">
        <v>6255.7792799999997</v>
      </c>
      <c r="H161" s="52">
        <v>278</v>
      </c>
      <c r="I161" s="53">
        <v>0.38904099999999997</v>
      </c>
      <c r="J161" s="52">
        <v>135</v>
      </c>
      <c r="K161" s="52">
        <v>347</v>
      </c>
      <c r="L161" s="52">
        <f t="shared" si="28"/>
        <v>212</v>
      </c>
      <c r="M161" s="52">
        <f t="shared" si="29"/>
        <v>143</v>
      </c>
      <c r="N161" s="55">
        <f t="shared" si="30"/>
        <v>0.63962264150943393</v>
      </c>
      <c r="O161" s="56">
        <f t="shared" si="31"/>
        <v>0.38904099999999997</v>
      </c>
      <c r="V161" s="54">
        <f t="shared" si="32"/>
        <v>135</v>
      </c>
      <c r="W161" s="52">
        <f t="shared" si="33"/>
        <v>265</v>
      </c>
      <c r="X161" s="52">
        <f t="shared" si="34"/>
        <v>108.5</v>
      </c>
      <c r="Y161" s="55">
        <f t="shared" si="35"/>
        <v>-167.42481678038919</v>
      </c>
      <c r="Z161" s="55">
        <f t="shared" si="36"/>
        <v>196.66154915339905</v>
      </c>
      <c r="AA161" s="55">
        <f t="shared" si="37"/>
        <v>196.66154915339905</v>
      </c>
      <c r="AB161" s="52">
        <f t="shared" si="38"/>
        <v>0.33268509114490208</v>
      </c>
      <c r="AC161" s="52">
        <f t="shared" si="39"/>
        <v>0.58731301886792453</v>
      </c>
      <c r="AD161" s="52">
        <f t="shared" si="40"/>
        <v>115.50188812852552</v>
      </c>
      <c r="AE161" s="62">
        <f t="shared" si="41"/>
        <v>80.851321689967861</v>
      </c>
    </row>
    <row r="162" spans="1:31" x14ac:dyDescent="0.3">
      <c r="A162" t="s">
        <v>260</v>
      </c>
      <c r="B162" t="s">
        <v>261</v>
      </c>
      <c r="C162" t="s">
        <v>61</v>
      </c>
      <c r="D162">
        <v>1</v>
      </c>
      <c r="E162" s="52">
        <v>1150</v>
      </c>
      <c r="F162" s="53">
        <v>0.57534200000000002</v>
      </c>
      <c r="G162" s="54">
        <v>7939.7196000000004</v>
      </c>
      <c r="H162" s="52">
        <v>183</v>
      </c>
      <c r="I162" s="53">
        <v>0.57534200000000002</v>
      </c>
      <c r="J162" s="52">
        <v>80</v>
      </c>
      <c r="K162" s="52">
        <v>267</v>
      </c>
      <c r="L162" s="52">
        <f t="shared" si="28"/>
        <v>187</v>
      </c>
      <c r="M162" s="52">
        <f t="shared" si="29"/>
        <v>103</v>
      </c>
      <c r="N162" s="55">
        <f t="shared" si="30"/>
        <v>0.54064171122994653</v>
      </c>
      <c r="O162" s="56">
        <f t="shared" si="31"/>
        <v>0.57534200000000002</v>
      </c>
      <c r="V162" s="54">
        <f t="shared" si="32"/>
        <v>80</v>
      </c>
      <c r="W162" s="52">
        <f t="shared" si="33"/>
        <v>233.75</v>
      </c>
      <c r="X162" s="52">
        <f t="shared" si="34"/>
        <v>56.625</v>
      </c>
      <c r="Y162" s="55">
        <f t="shared" si="35"/>
        <v>-147.68132423553197</v>
      </c>
      <c r="Z162" s="55">
        <f t="shared" si="36"/>
        <v>153.93023439474348</v>
      </c>
      <c r="AA162" s="55">
        <f t="shared" si="37"/>
        <v>153.93023439474348</v>
      </c>
      <c r="AB162" s="52">
        <f t="shared" si="38"/>
        <v>0.41627907762457106</v>
      </c>
      <c r="AC162" s="52">
        <f t="shared" si="39"/>
        <v>0.52115673796791451</v>
      </c>
      <c r="AD162" s="52">
        <f t="shared" si="40"/>
        <v>80.221778831800989</v>
      </c>
      <c r="AE162" s="62">
        <f t="shared" si="41"/>
        <v>56.155245182260686</v>
      </c>
    </row>
    <row r="163" spans="1:31" x14ac:dyDescent="0.3">
      <c r="A163" t="s">
        <v>262</v>
      </c>
      <c r="B163" t="s">
        <v>261</v>
      </c>
      <c r="C163" t="s">
        <v>61</v>
      </c>
      <c r="D163">
        <v>2</v>
      </c>
      <c r="E163" s="52">
        <v>2000</v>
      </c>
      <c r="F163" s="53">
        <v>0.31232900000000002</v>
      </c>
      <c r="G163" s="54">
        <v>7495.8960000000006</v>
      </c>
      <c r="H163" s="52">
        <v>237</v>
      </c>
      <c r="I163" s="53">
        <v>0.31232900000000002</v>
      </c>
      <c r="J163" s="52">
        <v>160</v>
      </c>
      <c r="K163" s="52">
        <v>323</v>
      </c>
      <c r="L163" s="52">
        <f t="shared" si="28"/>
        <v>163</v>
      </c>
      <c r="M163" s="52">
        <f t="shared" si="29"/>
        <v>77</v>
      </c>
      <c r="N163" s="55">
        <f t="shared" si="30"/>
        <v>0.47791411042944787</v>
      </c>
      <c r="O163" s="56">
        <f t="shared" si="31"/>
        <v>0.31232900000000002</v>
      </c>
      <c r="V163" s="54">
        <f t="shared" si="32"/>
        <v>160</v>
      </c>
      <c r="W163" s="52">
        <f t="shared" si="33"/>
        <v>203.75</v>
      </c>
      <c r="X163" s="52">
        <f t="shared" si="34"/>
        <v>139.625</v>
      </c>
      <c r="Y163" s="55">
        <f t="shared" si="35"/>
        <v>-128.72757139246903</v>
      </c>
      <c r="Z163" s="55">
        <f t="shared" si="36"/>
        <v>179.30817222643412</v>
      </c>
      <c r="AA163" s="55">
        <f t="shared" si="37"/>
        <v>179.30817222643412</v>
      </c>
      <c r="AB163" s="52">
        <f t="shared" si="38"/>
        <v>0.19476403546716134</v>
      </c>
      <c r="AC163" s="52">
        <f t="shared" si="39"/>
        <v>0.69646374233128849</v>
      </c>
      <c r="AD163" s="52">
        <f t="shared" si="40"/>
        <v>124.88164065940552</v>
      </c>
      <c r="AE163" s="62">
        <f t="shared" si="41"/>
        <v>87.417148461583864</v>
      </c>
    </row>
    <row r="164" spans="1:31" x14ac:dyDescent="0.3">
      <c r="A164" t="s">
        <v>263</v>
      </c>
      <c r="B164" t="s">
        <v>261</v>
      </c>
      <c r="C164" t="s">
        <v>70</v>
      </c>
      <c r="D164">
        <v>1</v>
      </c>
      <c r="E164" s="52">
        <v>1600</v>
      </c>
      <c r="F164" s="53">
        <v>0.45205499999999998</v>
      </c>
      <c r="G164" s="54">
        <v>8679.4560000000001</v>
      </c>
      <c r="H164" s="52">
        <v>297</v>
      </c>
      <c r="I164" s="53">
        <v>0.45205499999999998</v>
      </c>
      <c r="J164" s="52">
        <v>225</v>
      </c>
      <c r="K164" s="52">
        <v>406</v>
      </c>
      <c r="L164" s="52">
        <f t="shared" si="28"/>
        <v>181</v>
      </c>
      <c r="M164" s="52">
        <f t="shared" si="29"/>
        <v>72</v>
      </c>
      <c r="N164" s="55">
        <f t="shared" si="30"/>
        <v>0.41823204419889504</v>
      </c>
      <c r="O164" s="56">
        <f t="shared" si="31"/>
        <v>0.45205499999999998</v>
      </c>
      <c r="V164" s="54">
        <f t="shared" si="32"/>
        <v>225</v>
      </c>
      <c r="W164" s="52">
        <f t="shared" si="33"/>
        <v>226.25</v>
      </c>
      <c r="X164" s="52">
        <f t="shared" si="34"/>
        <v>202.375</v>
      </c>
      <c r="Y164" s="55">
        <f t="shared" si="35"/>
        <v>-142.94288602476624</v>
      </c>
      <c r="Z164" s="55">
        <f t="shared" si="36"/>
        <v>222.77471885266615</v>
      </c>
      <c r="AA164" s="55">
        <f t="shared" si="37"/>
        <v>225</v>
      </c>
      <c r="AB164" s="52">
        <f t="shared" si="38"/>
        <v>0.1</v>
      </c>
      <c r="AC164" s="52">
        <f t="shared" si="39"/>
        <v>0.77146000000000003</v>
      </c>
      <c r="AD164" s="52">
        <f t="shared" si="40"/>
        <v>173.57850000000002</v>
      </c>
      <c r="AE164" s="62">
        <f t="shared" si="41"/>
        <v>121.50495000000001</v>
      </c>
    </row>
    <row r="165" spans="1:31" x14ac:dyDescent="0.3">
      <c r="A165" t="s">
        <v>264</v>
      </c>
      <c r="B165" t="s">
        <v>261</v>
      </c>
      <c r="C165" t="s">
        <v>70</v>
      </c>
      <c r="D165">
        <v>2</v>
      </c>
      <c r="E165" s="52">
        <v>2150</v>
      </c>
      <c r="F165" s="53">
        <v>0.53150699999999995</v>
      </c>
      <c r="G165" s="54">
        <v>13712.880599999999</v>
      </c>
      <c r="H165" s="52">
        <v>360</v>
      </c>
      <c r="I165" s="53">
        <v>0.53150699999999995</v>
      </c>
      <c r="J165" s="52">
        <v>170</v>
      </c>
      <c r="K165" s="52">
        <v>447</v>
      </c>
      <c r="L165" s="52">
        <f t="shared" si="28"/>
        <v>277</v>
      </c>
      <c r="M165" s="52">
        <f t="shared" si="29"/>
        <v>190</v>
      </c>
      <c r="N165" s="55">
        <f t="shared" si="30"/>
        <v>0.64873646209386282</v>
      </c>
      <c r="O165" s="56">
        <f t="shared" si="31"/>
        <v>0.53150699999999995</v>
      </c>
      <c r="V165" s="54">
        <f t="shared" si="32"/>
        <v>170</v>
      </c>
      <c r="W165" s="52">
        <f t="shared" si="33"/>
        <v>346.25</v>
      </c>
      <c r="X165" s="52">
        <f t="shared" si="34"/>
        <v>135.375</v>
      </c>
      <c r="Y165" s="55">
        <f t="shared" si="35"/>
        <v>-218.75789739701796</v>
      </c>
      <c r="Z165" s="55">
        <f t="shared" si="36"/>
        <v>253.76296752590346</v>
      </c>
      <c r="AA165" s="55">
        <f t="shared" si="37"/>
        <v>253.76296752590346</v>
      </c>
      <c r="AB165" s="52">
        <f t="shared" si="38"/>
        <v>0.34191470765603887</v>
      </c>
      <c r="AC165" s="52">
        <f t="shared" si="39"/>
        <v>0.58000870036101082</v>
      </c>
      <c r="AD165" s="52">
        <f t="shared" si="40"/>
        <v>147.18472899445266</v>
      </c>
      <c r="AE165" s="62">
        <f t="shared" si="41"/>
        <v>103.02931029611685</v>
      </c>
    </row>
    <row r="166" spans="1:31" x14ac:dyDescent="0.3">
      <c r="A166" t="s">
        <v>265</v>
      </c>
      <c r="B166" t="s">
        <v>266</v>
      </c>
      <c r="C166" t="s">
        <v>61</v>
      </c>
      <c r="D166">
        <v>1</v>
      </c>
      <c r="E166" s="52">
        <v>1600</v>
      </c>
      <c r="F166" s="53">
        <v>0.53972600000000004</v>
      </c>
      <c r="G166" s="54">
        <v>10362.7392</v>
      </c>
      <c r="H166" s="52">
        <v>209</v>
      </c>
      <c r="I166" s="53">
        <v>0.53972600000000004</v>
      </c>
      <c r="J166" s="52">
        <v>94</v>
      </c>
      <c r="K166" s="52">
        <v>411</v>
      </c>
      <c r="L166" s="52">
        <f t="shared" si="28"/>
        <v>317</v>
      </c>
      <c r="M166" s="52">
        <f t="shared" si="29"/>
        <v>115</v>
      </c>
      <c r="N166" s="55">
        <f t="shared" si="30"/>
        <v>0.39022082018927451</v>
      </c>
      <c r="O166" s="56">
        <f t="shared" si="31"/>
        <v>0.53972600000000004</v>
      </c>
      <c r="V166" s="54">
        <f t="shared" si="32"/>
        <v>94</v>
      </c>
      <c r="W166" s="52">
        <f t="shared" si="33"/>
        <v>396.25</v>
      </c>
      <c r="X166" s="52">
        <f t="shared" si="34"/>
        <v>54.375</v>
      </c>
      <c r="Y166" s="55">
        <f t="shared" si="35"/>
        <v>-250.3474854687895</v>
      </c>
      <c r="Z166" s="55">
        <f t="shared" si="36"/>
        <v>240.13307113975236</v>
      </c>
      <c r="AA166" s="55">
        <f t="shared" si="37"/>
        <v>240.13307113975236</v>
      </c>
      <c r="AB166" s="52">
        <f t="shared" si="38"/>
        <v>0.46879008489527407</v>
      </c>
      <c r="AC166" s="52">
        <f t="shared" si="39"/>
        <v>0.47959952681388013</v>
      </c>
      <c r="AD166" s="52">
        <f t="shared" si="40"/>
        <v>115.16770729098904</v>
      </c>
      <c r="AE166" s="62">
        <f t="shared" si="41"/>
        <v>80.617395103692331</v>
      </c>
    </row>
    <row r="167" spans="1:31" x14ac:dyDescent="0.3">
      <c r="A167" t="s">
        <v>267</v>
      </c>
      <c r="B167" t="s">
        <v>266</v>
      </c>
      <c r="C167" t="s">
        <v>61</v>
      </c>
      <c r="D167">
        <v>2</v>
      </c>
      <c r="E167" s="52">
        <v>2100</v>
      </c>
      <c r="F167" s="53">
        <v>0.40273999999999999</v>
      </c>
      <c r="G167" s="54">
        <v>10149.047999999999</v>
      </c>
      <c r="H167" s="52">
        <v>265</v>
      </c>
      <c r="I167" s="53">
        <v>0.40273999999999999</v>
      </c>
      <c r="J167" s="52">
        <v>130</v>
      </c>
      <c r="K167" s="52">
        <v>438</v>
      </c>
      <c r="L167" s="52">
        <f t="shared" si="28"/>
        <v>308</v>
      </c>
      <c r="M167" s="52">
        <f t="shared" si="29"/>
        <v>135</v>
      </c>
      <c r="N167" s="55">
        <f t="shared" si="30"/>
        <v>0.45064935064935063</v>
      </c>
      <c r="O167" s="56">
        <f t="shared" si="31"/>
        <v>0.40273999999999999</v>
      </c>
      <c r="V167" s="54">
        <f t="shared" si="32"/>
        <v>130</v>
      </c>
      <c r="W167" s="52">
        <f t="shared" si="33"/>
        <v>385</v>
      </c>
      <c r="X167" s="52">
        <f t="shared" si="34"/>
        <v>91.5</v>
      </c>
      <c r="Y167" s="55">
        <f t="shared" si="35"/>
        <v>-243.23982815264088</v>
      </c>
      <c r="Z167" s="55">
        <f t="shared" si="36"/>
        <v>252.64979782663633</v>
      </c>
      <c r="AA167" s="55">
        <f t="shared" si="37"/>
        <v>252.64979782663633</v>
      </c>
      <c r="AB167" s="52">
        <f t="shared" si="38"/>
        <v>0.41857090344580866</v>
      </c>
      <c r="AC167" s="52">
        <f t="shared" si="39"/>
        <v>0.51934298701298709</v>
      </c>
      <c r="AD167" s="52">
        <f t="shared" si="40"/>
        <v>131.21190067151261</v>
      </c>
      <c r="AE167" s="62">
        <f t="shared" si="41"/>
        <v>91.848330470058826</v>
      </c>
    </row>
    <row r="168" spans="1:31" x14ac:dyDescent="0.3">
      <c r="A168" t="s">
        <v>268</v>
      </c>
      <c r="B168" t="s">
        <v>266</v>
      </c>
      <c r="C168" t="s">
        <v>70</v>
      </c>
      <c r="D168">
        <v>1</v>
      </c>
      <c r="E168" s="52">
        <v>1200</v>
      </c>
      <c r="F168" s="53">
        <v>0.4</v>
      </c>
      <c r="G168" s="54">
        <v>5760</v>
      </c>
      <c r="H168" s="52">
        <v>435</v>
      </c>
      <c r="I168" s="53">
        <v>0.4</v>
      </c>
      <c r="J168" s="52">
        <v>162</v>
      </c>
      <c r="K168" s="52">
        <v>504</v>
      </c>
      <c r="L168" s="52">
        <f t="shared" si="28"/>
        <v>342</v>
      </c>
      <c r="M168" s="52">
        <f t="shared" si="29"/>
        <v>273</v>
      </c>
      <c r="N168" s="55">
        <f t="shared" si="30"/>
        <v>0.73859649122807014</v>
      </c>
      <c r="O168" s="56">
        <f t="shared" si="31"/>
        <v>0.4</v>
      </c>
      <c r="V168" s="54">
        <f t="shared" si="32"/>
        <v>162</v>
      </c>
      <c r="W168" s="52">
        <f t="shared" si="33"/>
        <v>427.5</v>
      </c>
      <c r="X168" s="52">
        <f t="shared" si="34"/>
        <v>119.25</v>
      </c>
      <c r="Y168" s="55">
        <f t="shared" si="35"/>
        <v>-270.09097801364669</v>
      </c>
      <c r="Z168" s="55">
        <f t="shared" si="36"/>
        <v>289.36438589840787</v>
      </c>
      <c r="AA168" s="55">
        <f t="shared" si="37"/>
        <v>289.36438589840787</v>
      </c>
      <c r="AB168" s="52">
        <f t="shared" si="38"/>
        <v>0.39792838806645114</v>
      </c>
      <c r="AC168" s="52">
        <f t="shared" si="39"/>
        <v>0.53567947368421054</v>
      </c>
      <c r="AD168" s="52">
        <f t="shared" si="40"/>
        <v>155.00656194101393</v>
      </c>
      <c r="AE168" s="62">
        <f t="shared" si="41"/>
        <v>108.50459335870974</v>
      </c>
    </row>
    <row r="169" spans="1:31" x14ac:dyDescent="0.3">
      <c r="A169" t="s">
        <v>269</v>
      </c>
      <c r="B169" t="s">
        <v>266</v>
      </c>
      <c r="C169" t="s">
        <v>70</v>
      </c>
      <c r="D169">
        <v>2</v>
      </c>
      <c r="E169" s="52">
        <v>2100</v>
      </c>
      <c r="F169" s="53">
        <v>0.43013699999999999</v>
      </c>
      <c r="G169" s="54">
        <v>10839.4524</v>
      </c>
      <c r="H169" s="52">
        <v>487</v>
      </c>
      <c r="I169" s="53">
        <v>0.43013699999999999</v>
      </c>
      <c r="J169" s="52">
        <v>175</v>
      </c>
      <c r="K169" s="52">
        <v>755</v>
      </c>
      <c r="L169" s="52">
        <f t="shared" si="28"/>
        <v>580</v>
      </c>
      <c r="M169" s="52">
        <f t="shared" si="29"/>
        <v>312</v>
      </c>
      <c r="N169" s="55">
        <f t="shared" si="30"/>
        <v>0.53034482758620693</v>
      </c>
      <c r="O169" s="56">
        <f t="shared" si="31"/>
        <v>0.43013699999999999</v>
      </c>
      <c r="V169" s="54">
        <f t="shared" si="32"/>
        <v>175</v>
      </c>
      <c r="W169" s="52">
        <f t="shared" si="33"/>
        <v>725</v>
      </c>
      <c r="X169" s="52">
        <f t="shared" si="34"/>
        <v>102.5</v>
      </c>
      <c r="Y169" s="55">
        <f t="shared" si="35"/>
        <v>-458.04902704068741</v>
      </c>
      <c r="Z169" s="55">
        <f t="shared" si="36"/>
        <v>440.86650240080871</v>
      </c>
      <c r="AA169" s="55">
        <f t="shared" si="37"/>
        <v>440.86650240080871</v>
      </c>
      <c r="AB169" s="52">
        <f t="shared" si="38"/>
        <v>0.46671241710456374</v>
      </c>
      <c r="AC169" s="52">
        <f t="shared" si="39"/>
        <v>0.48124379310344828</v>
      </c>
      <c r="AD169" s="52">
        <f t="shared" si="40"/>
        <v>212.16426786761568</v>
      </c>
      <c r="AE169" s="62">
        <f t="shared" si="41"/>
        <v>148.51498750733097</v>
      </c>
    </row>
    <row r="170" spans="1:31" x14ac:dyDescent="0.3">
      <c r="A170" t="s">
        <v>270</v>
      </c>
      <c r="B170" t="s">
        <v>271</v>
      </c>
      <c r="C170" t="s">
        <v>61</v>
      </c>
      <c r="D170">
        <v>2</v>
      </c>
      <c r="E170" s="52">
        <v>2500</v>
      </c>
      <c r="F170" s="53">
        <v>0.40273999999999999</v>
      </c>
      <c r="G170" s="54">
        <v>12082.199999999999</v>
      </c>
      <c r="H170" s="52">
        <v>231</v>
      </c>
      <c r="I170" s="53">
        <v>0.40273999999999999</v>
      </c>
      <c r="J170" s="52">
        <v>129</v>
      </c>
      <c r="K170" s="52">
        <v>431</v>
      </c>
      <c r="L170" s="52">
        <f t="shared" si="28"/>
        <v>302</v>
      </c>
      <c r="M170" s="52">
        <f t="shared" si="29"/>
        <v>102</v>
      </c>
      <c r="N170" s="55">
        <f t="shared" si="30"/>
        <v>0.37019867549668872</v>
      </c>
      <c r="O170" s="56">
        <f t="shared" si="31"/>
        <v>0.40273999999999999</v>
      </c>
      <c r="V170" s="54">
        <f t="shared" si="32"/>
        <v>129</v>
      </c>
      <c r="W170" s="52">
        <f t="shared" si="33"/>
        <v>377.5</v>
      </c>
      <c r="X170" s="52">
        <f t="shared" si="34"/>
        <v>91.25</v>
      </c>
      <c r="Y170" s="55">
        <f t="shared" si="35"/>
        <v>-238.50138994187515</v>
      </c>
      <c r="Z170" s="55">
        <f t="shared" si="36"/>
        <v>248.49428228455901</v>
      </c>
      <c r="AA170" s="55">
        <f t="shared" si="37"/>
        <v>248.49428228455901</v>
      </c>
      <c r="AB170" s="52">
        <f t="shared" si="38"/>
        <v>0.41654114512465962</v>
      </c>
      <c r="AC170" s="52">
        <f t="shared" si="39"/>
        <v>0.5209493377483444</v>
      </c>
      <c r="AD170" s="52">
        <f t="shared" si="40"/>
        <v>129.45293179039118</v>
      </c>
      <c r="AE170" s="62">
        <f t="shared" si="41"/>
        <v>90.617052253273812</v>
      </c>
    </row>
    <row r="171" spans="1:31" x14ac:dyDescent="0.3">
      <c r="A171" t="s">
        <v>272</v>
      </c>
      <c r="B171" t="s">
        <v>60</v>
      </c>
      <c r="C171" t="s">
        <v>70</v>
      </c>
      <c r="D171">
        <v>2</v>
      </c>
      <c r="E171" s="52">
        <v>2000</v>
      </c>
      <c r="F171" s="53">
        <v>0.31232900000000002</v>
      </c>
      <c r="G171" s="54">
        <v>7495.8960000000006</v>
      </c>
      <c r="H171" s="52">
        <v>199</v>
      </c>
      <c r="I171" s="53">
        <v>0.31232900000000002</v>
      </c>
      <c r="J171" s="52">
        <v>97</v>
      </c>
      <c r="K171" s="52">
        <v>240</v>
      </c>
      <c r="L171" s="52">
        <f t="shared" si="28"/>
        <v>143</v>
      </c>
      <c r="M171" s="52">
        <f t="shared" si="29"/>
        <v>102</v>
      </c>
      <c r="N171" s="55">
        <f t="shared" si="30"/>
        <v>0.67062937062937067</v>
      </c>
      <c r="O171" s="56">
        <f t="shared" si="31"/>
        <v>0.31232900000000002</v>
      </c>
      <c r="V171" s="54">
        <f t="shared" si="32"/>
        <v>97</v>
      </c>
      <c r="W171" s="52">
        <f t="shared" si="33"/>
        <v>178.75</v>
      </c>
      <c r="X171" s="52">
        <f t="shared" si="34"/>
        <v>79.125</v>
      </c>
      <c r="Y171" s="55">
        <f t="shared" si="35"/>
        <v>-112.93277735658327</v>
      </c>
      <c r="Z171" s="55">
        <f t="shared" si="36"/>
        <v>135.62312041950975</v>
      </c>
      <c r="AA171" s="55">
        <f t="shared" si="37"/>
        <v>135.62312041950975</v>
      </c>
      <c r="AB171" s="52">
        <f t="shared" si="38"/>
        <v>0.31607340094830627</v>
      </c>
      <c r="AC171" s="52">
        <f t="shared" si="39"/>
        <v>0.60045951048951052</v>
      </c>
      <c r="AD171" s="52">
        <f t="shared" si="40"/>
        <v>81.436192498158761</v>
      </c>
      <c r="AE171" s="62">
        <f t="shared" si="41"/>
        <v>57.005334748711128</v>
      </c>
    </row>
    <row r="172" spans="1:31" x14ac:dyDescent="0.3">
      <c r="A172" t="s">
        <v>273</v>
      </c>
      <c r="B172" t="s">
        <v>271</v>
      </c>
      <c r="C172" t="s">
        <v>70</v>
      </c>
      <c r="D172">
        <v>1</v>
      </c>
      <c r="E172" s="52">
        <v>2500</v>
      </c>
      <c r="F172" s="53">
        <v>0.23013700000000001</v>
      </c>
      <c r="G172" s="54">
        <v>6904.1100000000006</v>
      </c>
      <c r="H172" s="52">
        <v>490</v>
      </c>
      <c r="I172" s="53">
        <v>0.23013700000000001</v>
      </c>
      <c r="J172" s="52">
        <v>186</v>
      </c>
      <c r="K172" s="52">
        <v>578</v>
      </c>
      <c r="L172" s="52">
        <f t="shared" si="28"/>
        <v>392</v>
      </c>
      <c r="M172" s="52">
        <f t="shared" si="29"/>
        <v>304</v>
      </c>
      <c r="N172" s="55">
        <f t="shared" si="30"/>
        <v>0.7204081632653061</v>
      </c>
      <c r="O172" s="56">
        <f t="shared" si="31"/>
        <v>0.23013700000000001</v>
      </c>
      <c r="V172" s="54">
        <f t="shared" si="32"/>
        <v>186</v>
      </c>
      <c r="W172" s="52">
        <f t="shared" si="33"/>
        <v>490</v>
      </c>
      <c r="X172" s="52">
        <f t="shared" si="34"/>
        <v>137</v>
      </c>
      <c r="Y172" s="55">
        <f t="shared" si="35"/>
        <v>-309.57796310336113</v>
      </c>
      <c r="Z172" s="55">
        <f t="shared" si="36"/>
        <v>331.82701541571902</v>
      </c>
      <c r="AA172" s="55">
        <f t="shared" si="37"/>
        <v>331.82701541571902</v>
      </c>
      <c r="AB172" s="52">
        <f t="shared" si="38"/>
        <v>0.39760615390963067</v>
      </c>
      <c r="AC172" s="52">
        <f t="shared" si="39"/>
        <v>0.53593448979591829</v>
      </c>
      <c r="AD172" s="52">
        <f t="shared" si="40"/>
        <v>177.8375422073257</v>
      </c>
      <c r="AE172" s="62">
        <f t="shared" si="41"/>
        <v>124.48627954512799</v>
      </c>
    </row>
    <row r="173" spans="1:31" x14ac:dyDescent="0.3">
      <c r="A173" t="s">
        <v>274</v>
      </c>
      <c r="B173" t="s">
        <v>271</v>
      </c>
      <c r="C173" t="s">
        <v>70</v>
      </c>
      <c r="D173">
        <v>2</v>
      </c>
      <c r="E173" s="52">
        <v>2750</v>
      </c>
      <c r="F173" s="53">
        <v>0.6</v>
      </c>
      <c r="G173" s="54">
        <v>19800</v>
      </c>
      <c r="H173" s="52">
        <v>538</v>
      </c>
      <c r="I173" s="53">
        <v>0.6</v>
      </c>
      <c r="J173" s="52">
        <v>188</v>
      </c>
      <c r="K173" s="52">
        <v>810</v>
      </c>
      <c r="L173" s="52">
        <f t="shared" si="28"/>
        <v>622</v>
      </c>
      <c r="M173" s="52">
        <f t="shared" si="29"/>
        <v>350</v>
      </c>
      <c r="N173" s="55">
        <f t="shared" si="30"/>
        <v>0.5501607717041801</v>
      </c>
      <c r="O173" s="56">
        <f t="shared" si="31"/>
        <v>0.6</v>
      </c>
      <c r="V173" s="54">
        <f t="shared" si="32"/>
        <v>188</v>
      </c>
      <c r="W173" s="52">
        <f t="shared" si="33"/>
        <v>777.5</v>
      </c>
      <c r="X173" s="52">
        <f t="shared" si="34"/>
        <v>110.25</v>
      </c>
      <c r="Y173" s="55">
        <f t="shared" si="35"/>
        <v>-491.21809451604753</v>
      </c>
      <c r="Z173" s="55">
        <f t="shared" si="36"/>
        <v>472.95511119535001</v>
      </c>
      <c r="AA173" s="55">
        <f t="shared" si="37"/>
        <v>472.95511119535001</v>
      </c>
      <c r="AB173" s="52">
        <f t="shared" si="38"/>
        <v>0.46650175073356914</v>
      </c>
      <c r="AC173" s="52">
        <f t="shared" si="39"/>
        <v>0.48141051446945343</v>
      </c>
      <c r="AD173" s="52">
        <f t="shared" si="40"/>
        <v>227.68556340151102</v>
      </c>
      <c r="AE173" s="62">
        <f t="shared" si="41"/>
        <v>159.37989438105771</v>
      </c>
    </row>
    <row r="174" spans="1:31" x14ac:dyDescent="0.3">
      <c r="A174" t="s">
        <v>275</v>
      </c>
      <c r="B174" t="s">
        <v>271</v>
      </c>
      <c r="C174" t="s">
        <v>61</v>
      </c>
      <c r="D174">
        <v>1</v>
      </c>
      <c r="E174" s="52">
        <v>1800</v>
      </c>
      <c r="F174" s="53">
        <v>0.232877</v>
      </c>
      <c r="G174" s="54">
        <v>5030.1432000000004</v>
      </c>
      <c r="H174" s="52">
        <v>288</v>
      </c>
      <c r="I174" s="53">
        <v>0.232877</v>
      </c>
      <c r="J174" s="52">
        <v>89</v>
      </c>
      <c r="K174" s="52">
        <v>390</v>
      </c>
      <c r="L174" s="52">
        <f t="shared" si="28"/>
        <v>301</v>
      </c>
      <c r="M174" s="52">
        <f t="shared" si="29"/>
        <v>199</v>
      </c>
      <c r="N174" s="55">
        <f t="shared" si="30"/>
        <v>0.62890365448504992</v>
      </c>
      <c r="O174" s="56">
        <f t="shared" si="31"/>
        <v>0.232877</v>
      </c>
      <c r="V174" s="54">
        <f t="shared" si="32"/>
        <v>89</v>
      </c>
      <c r="W174" s="52">
        <f t="shared" si="33"/>
        <v>376.25</v>
      </c>
      <c r="X174" s="52">
        <f t="shared" si="34"/>
        <v>51.375</v>
      </c>
      <c r="Y174" s="55">
        <f t="shared" si="35"/>
        <v>-237.71165024008087</v>
      </c>
      <c r="Z174" s="55">
        <f t="shared" si="36"/>
        <v>227.88502969421279</v>
      </c>
      <c r="AA174" s="55">
        <f t="shared" si="37"/>
        <v>227.88502969421279</v>
      </c>
      <c r="AB174" s="52">
        <f t="shared" si="38"/>
        <v>0.46912964702780807</v>
      </c>
      <c r="AC174" s="52">
        <f t="shared" si="39"/>
        <v>0.47933079734219269</v>
      </c>
      <c r="AD174" s="52">
        <f t="shared" si="40"/>
        <v>109.23231298567627</v>
      </c>
      <c r="AE174" s="62">
        <f t="shared" si="41"/>
        <v>76.462619089973387</v>
      </c>
    </row>
    <row r="175" spans="1:31" x14ac:dyDescent="0.3">
      <c r="A175" t="s">
        <v>276</v>
      </c>
      <c r="B175" t="s">
        <v>277</v>
      </c>
      <c r="C175" t="s">
        <v>61</v>
      </c>
      <c r="D175">
        <v>2</v>
      </c>
      <c r="E175" s="52">
        <v>3000</v>
      </c>
      <c r="F175" s="53">
        <v>0.408219</v>
      </c>
      <c r="G175" s="54">
        <v>14695.884</v>
      </c>
      <c r="H175" s="52">
        <v>415</v>
      </c>
      <c r="I175" s="53">
        <v>0.408219</v>
      </c>
      <c r="J175" s="52">
        <v>193</v>
      </c>
      <c r="K175" s="52">
        <v>648</v>
      </c>
      <c r="L175" s="52">
        <f t="shared" si="28"/>
        <v>455</v>
      </c>
      <c r="M175" s="52">
        <f t="shared" si="29"/>
        <v>222</v>
      </c>
      <c r="N175" s="55">
        <f t="shared" si="30"/>
        <v>0.49032967032967034</v>
      </c>
      <c r="O175" s="56">
        <f t="shared" si="31"/>
        <v>0.408219</v>
      </c>
      <c r="V175" s="54">
        <f t="shared" si="32"/>
        <v>193</v>
      </c>
      <c r="W175" s="52">
        <f t="shared" si="33"/>
        <v>568.75</v>
      </c>
      <c r="X175" s="52">
        <f t="shared" si="34"/>
        <v>136.125</v>
      </c>
      <c r="Y175" s="55">
        <f t="shared" si="35"/>
        <v>-359.33156431640134</v>
      </c>
      <c r="Z175" s="55">
        <f t="shared" si="36"/>
        <v>373.70992860753103</v>
      </c>
      <c r="AA175" s="55">
        <f t="shared" si="37"/>
        <v>373.70992860753103</v>
      </c>
      <c r="AB175" s="52">
        <f t="shared" si="38"/>
        <v>0.41773174260664797</v>
      </c>
      <c r="AC175" s="52">
        <f t="shared" si="39"/>
        <v>0.52000709890109875</v>
      </c>
      <c r="AD175" s="52">
        <f t="shared" si="40"/>
        <v>194.33181580573893</v>
      </c>
      <c r="AE175" s="62">
        <f t="shared" si="41"/>
        <v>136.03227106401724</v>
      </c>
    </row>
    <row r="176" spans="1:31" x14ac:dyDescent="0.3">
      <c r="A176" t="s">
        <v>278</v>
      </c>
      <c r="B176" t="s">
        <v>277</v>
      </c>
      <c r="C176" t="s">
        <v>70</v>
      </c>
      <c r="D176">
        <v>1</v>
      </c>
      <c r="E176" s="52">
        <v>2000</v>
      </c>
      <c r="F176" s="53">
        <v>0.32602700000000001</v>
      </c>
      <c r="G176" s="54">
        <v>7824.6480000000001</v>
      </c>
      <c r="H176" s="52">
        <v>387</v>
      </c>
      <c r="I176" s="53">
        <v>0.32602700000000001</v>
      </c>
      <c r="J176" s="52">
        <v>193</v>
      </c>
      <c r="K176" s="52">
        <v>600</v>
      </c>
      <c r="L176" s="52">
        <f t="shared" si="28"/>
        <v>407</v>
      </c>
      <c r="M176" s="52">
        <f t="shared" si="29"/>
        <v>194</v>
      </c>
      <c r="N176" s="55">
        <f t="shared" si="30"/>
        <v>0.48132678132678142</v>
      </c>
      <c r="O176" s="56">
        <f t="shared" si="31"/>
        <v>0.32602700000000001</v>
      </c>
      <c r="V176" s="54">
        <f t="shared" si="32"/>
        <v>193</v>
      </c>
      <c r="W176" s="52">
        <f t="shared" si="33"/>
        <v>508.75</v>
      </c>
      <c r="X176" s="52">
        <f t="shared" si="34"/>
        <v>142.125</v>
      </c>
      <c r="Y176" s="55">
        <f t="shared" si="35"/>
        <v>-321.42405863027545</v>
      </c>
      <c r="Z176" s="55">
        <f t="shared" si="36"/>
        <v>344.46580427091232</v>
      </c>
      <c r="AA176" s="55">
        <f t="shared" si="37"/>
        <v>344.46580427091232</v>
      </c>
      <c r="AB176" s="52">
        <f t="shared" si="38"/>
        <v>0.39772148259638784</v>
      </c>
      <c r="AC176" s="52">
        <f t="shared" si="39"/>
        <v>0.53584321867321871</v>
      </c>
      <c r="AD176" s="52">
        <f t="shared" si="40"/>
        <v>184.57966528338463</v>
      </c>
      <c r="AE176" s="62">
        <f t="shared" si="41"/>
        <v>129.20576569836922</v>
      </c>
    </row>
    <row r="177" spans="1:31" x14ac:dyDescent="0.3">
      <c r="A177" t="s">
        <v>279</v>
      </c>
      <c r="B177" t="s">
        <v>277</v>
      </c>
      <c r="C177" t="s">
        <v>70</v>
      </c>
      <c r="D177">
        <v>2</v>
      </c>
      <c r="E177" s="52">
        <v>2950</v>
      </c>
      <c r="F177" s="53">
        <v>0.38904099999999997</v>
      </c>
      <c r="G177" s="54">
        <v>13772.051399999998</v>
      </c>
      <c r="H177" s="52">
        <v>575</v>
      </c>
      <c r="I177" s="53">
        <v>0.38904099999999997</v>
      </c>
      <c r="J177" s="52">
        <v>192</v>
      </c>
      <c r="K177" s="52">
        <v>829</v>
      </c>
      <c r="L177" s="52">
        <f t="shared" si="28"/>
        <v>637</v>
      </c>
      <c r="M177" s="52">
        <f t="shared" si="29"/>
        <v>383</v>
      </c>
      <c r="N177" s="55">
        <f t="shared" si="30"/>
        <v>0.58100470957613826</v>
      </c>
      <c r="O177" s="56">
        <f t="shared" si="31"/>
        <v>0.38904099999999997</v>
      </c>
      <c r="V177" s="54">
        <f t="shared" si="32"/>
        <v>192</v>
      </c>
      <c r="W177" s="52">
        <f t="shared" si="33"/>
        <v>796.25</v>
      </c>
      <c r="X177" s="52">
        <f t="shared" si="34"/>
        <v>112.375</v>
      </c>
      <c r="Y177" s="55">
        <f t="shared" si="35"/>
        <v>-503.06419004296185</v>
      </c>
      <c r="Z177" s="55">
        <f t="shared" si="36"/>
        <v>484.09390005054337</v>
      </c>
      <c r="AA177" s="55">
        <f t="shared" si="37"/>
        <v>484.09390005054337</v>
      </c>
      <c r="AB177" s="52">
        <f t="shared" si="38"/>
        <v>0.46683692314039982</v>
      </c>
      <c r="AC177" s="52">
        <f t="shared" si="39"/>
        <v>0.48114525902668759</v>
      </c>
      <c r="AD177" s="52">
        <f t="shared" si="40"/>
        <v>232.9194849330581</v>
      </c>
      <c r="AE177" s="62">
        <f t="shared" si="41"/>
        <v>163.04363945314066</v>
      </c>
    </row>
    <row r="178" spans="1:31" x14ac:dyDescent="0.3">
      <c r="A178" t="s">
        <v>280</v>
      </c>
      <c r="B178" t="s">
        <v>277</v>
      </c>
      <c r="C178" t="s">
        <v>61</v>
      </c>
      <c r="D178">
        <v>1</v>
      </c>
      <c r="E178" s="52">
        <v>1700</v>
      </c>
      <c r="F178" s="53">
        <v>0.52054800000000001</v>
      </c>
      <c r="G178" s="54">
        <v>10619.1792</v>
      </c>
      <c r="H178" s="52">
        <v>228</v>
      </c>
      <c r="I178" s="53">
        <v>0.52054800000000001</v>
      </c>
      <c r="J178" s="52">
        <v>98</v>
      </c>
      <c r="K178" s="52">
        <v>432</v>
      </c>
      <c r="L178" s="52">
        <f t="shared" si="28"/>
        <v>334</v>
      </c>
      <c r="M178" s="52">
        <f t="shared" si="29"/>
        <v>130</v>
      </c>
      <c r="N178" s="55">
        <f t="shared" si="30"/>
        <v>0.41137724550898203</v>
      </c>
      <c r="O178" s="56">
        <f t="shared" si="31"/>
        <v>0.52054800000000001</v>
      </c>
      <c r="V178" s="54">
        <f t="shared" si="32"/>
        <v>98</v>
      </c>
      <c r="W178" s="52">
        <f t="shared" si="33"/>
        <v>417.5</v>
      </c>
      <c r="X178" s="52">
        <f t="shared" si="34"/>
        <v>56.25</v>
      </c>
      <c r="Y178" s="55">
        <f t="shared" si="35"/>
        <v>-263.77306039929238</v>
      </c>
      <c r="Z178" s="55">
        <f t="shared" si="36"/>
        <v>252.49036517563809</v>
      </c>
      <c r="AA178" s="55">
        <f t="shared" si="37"/>
        <v>252.49036517563809</v>
      </c>
      <c r="AB178" s="52">
        <f t="shared" si="38"/>
        <v>0.4700368028158996</v>
      </c>
      <c r="AC178" s="52">
        <f t="shared" si="39"/>
        <v>0.47861287425149707</v>
      </c>
      <c r="AD178" s="52">
        <f t="shared" si="40"/>
        <v>120.84513939752225</v>
      </c>
      <c r="AE178" s="62">
        <f t="shared" si="41"/>
        <v>84.591597578265564</v>
      </c>
    </row>
    <row r="179" spans="1:31" x14ac:dyDescent="0.3">
      <c r="A179" t="s">
        <v>281</v>
      </c>
      <c r="B179" t="s">
        <v>282</v>
      </c>
      <c r="C179" t="s">
        <v>61</v>
      </c>
      <c r="D179">
        <v>1</v>
      </c>
      <c r="E179" s="52">
        <v>3000</v>
      </c>
      <c r="F179" s="53">
        <v>0.46301400000000004</v>
      </c>
      <c r="G179" s="54">
        <v>16668.504000000001</v>
      </c>
      <c r="H179" s="52">
        <v>337</v>
      </c>
      <c r="I179" s="53">
        <v>0.46301400000000004</v>
      </c>
      <c r="J179" s="52">
        <v>87</v>
      </c>
      <c r="K179" s="52">
        <v>512</v>
      </c>
      <c r="L179" s="52">
        <f t="shared" si="28"/>
        <v>425</v>
      </c>
      <c r="M179" s="52">
        <f t="shared" si="29"/>
        <v>250</v>
      </c>
      <c r="N179" s="55">
        <f t="shared" si="30"/>
        <v>0.57058823529411762</v>
      </c>
      <c r="O179" s="56">
        <f t="shared" si="31"/>
        <v>0.46301400000000004</v>
      </c>
      <c r="V179" s="54">
        <f t="shared" si="32"/>
        <v>87</v>
      </c>
      <c r="W179" s="52">
        <f t="shared" si="33"/>
        <v>531.25</v>
      </c>
      <c r="X179" s="52">
        <f t="shared" si="34"/>
        <v>33.875</v>
      </c>
      <c r="Y179" s="55">
        <f t="shared" si="35"/>
        <v>-335.63937326257263</v>
      </c>
      <c r="Z179" s="55">
        <f t="shared" si="36"/>
        <v>302.43235089714432</v>
      </c>
      <c r="AA179" s="55">
        <f t="shared" si="37"/>
        <v>302.43235089714432</v>
      </c>
      <c r="AB179" s="52">
        <f t="shared" si="38"/>
        <v>0.50551971933580109</v>
      </c>
      <c r="AC179" s="52">
        <f t="shared" si="39"/>
        <v>0.45053169411764704</v>
      </c>
      <c r="AD179" s="52">
        <f t="shared" si="40"/>
        <v>136.25535940567312</v>
      </c>
      <c r="AE179" s="62">
        <f t="shared" si="41"/>
        <v>95.37875158397118</v>
      </c>
    </row>
    <row r="180" spans="1:31" x14ac:dyDescent="0.3">
      <c r="A180" t="s">
        <v>283</v>
      </c>
      <c r="B180" t="s">
        <v>282</v>
      </c>
      <c r="C180" t="s">
        <v>61</v>
      </c>
      <c r="D180">
        <v>2</v>
      </c>
      <c r="E180" s="52">
        <v>3200</v>
      </c>
      <c r="F180" s="53">
        <v>0.67945199999999994</v>
      </c>
      <c r="G180" s="54">
        <v>26090.956799999996</v>
      </c>
      <c r="H180" s="52">
        <v>154</v>
      </c>
      <c r="I180" s="53">
        <v>0.67945199999999994</v>
      </c>
      <c r="J180" s="52">
        <v>154</v>
      </c>
      <c r="K180" s="52">
        <v>480</v>
      </c>
      <c r="L180" s="52">
        <f t="shared" si="28"/>
        <v>326</v>
      </c>
      <c r="M180" s="52">
        <f t="shared" si="29"/>
        <v>0</v>
      </c>
      <c r="N180" s="55">
        <f t="shared" si="30"/>
        <v>0.1</v>
      </c>
      <c r="O180" s="56">
        <f t="shared" si="31"/>
        <v>0.67945199999999994</v>
      </c>
      <c r="V180" s="54">
        <f t="shared" si="32"/>
        <v>154</v>
      </c>
      <c r="W180" s="52">
        <f t="shared" si="33"/>
        <v>407.5</v>
      </c>
      <c r="X180" s="52">
        <f t="shared" si="34"/>
        <v>113.25</v>
      </c>
      <c r="Y180" s="55">
        <f t="shared" si="35"/>
        <v>-257.45514278493806</v>
      </c>
      <c r="Z180" s="55">
        <f t="shared" si="36"/>
        <v>275.6163444528683</v>
      </c>
      <c r="AA180" s="55">
        <f t="shared" si="37"/>
        <v>275.6163444528683</v>
      </c>
      <c r="AB180" s="52">
        <f t="shared" si="38"/>
        <v>0.39844501706225349</v>
      </c>
      <c r="AC180" s="52">
        <f t="shared" si="39"/>
        <v>0.53527061349693261</v>
      </c>
      <c r="AD180" s="52">
        <f t="shared" si="40"/>
        <v>147.52932978506871</v>
      </c>
      <c r="AE180" s="62">
        <f t="shared" si="41"/>
        <v>103.27053084954809</v>
      </c>
    </row>
    <row r="181" spans="1:31" x14ac:dyDescent="0.3">
      <c r="A181" t="s">
        <v>284</v>
      </c>
      <c r="B181" t="s">
        <v>285</v>
      </c>
      <c r="C181" t="s">
        <v>61</v>
      </c>
      <c r="D181">
        <v>2</v>
      </c>
      <c r="E181" s="52">
        <v>4500</v>
      </c>
      <c r="F181" s="53">
        <v>0.68219200000000002</v>
      </c>
      <c r="G181" s="54">
        <v>36838.368000000002</v>
      </c>
      <c r="H181" s="52">
        <v>432</v>
      </c>
      <c r="I181" s="53">
        <v>0.68219200000000002</v>
      </c>
      <c r="J181" s="52">
        <v>273</v>
      </c>
      <c r="K181" s="52">
        <v>853</v>
      </c>
      <c r="L181" s="52">
        <f t="shared" si="28"/>
        <v>580</v>
      </c>
      <c r="M181" s="52">
        <f t="shared" si="29"/>
        <v>159</v>
      </c>
      <c r="N181" s="55">
        <f t="shared" si="30"/>
        <v>0.31931034482758625</v>
      </c>
      <c r="O181" s="56">
        <f t="shared" si="31"/>
        <v>0.68219200000000002</v>
      </c>
      <c r="V181" s="54">
        <f t="shared" si="32"/>
        <v>273</v>
      </c>
      <c r="W181" s="52">
        <f t="shared" si="33"/>
        <v>725</v>
      </c>
      <c r="X181" s="52">
        <f t="shared" si="34"/>
        <v>200.5</v>
      </c>
      <c r="Y181" s="55">
        <f t="shared" si="35"/>
        <v>-458.04902704068741</v>
      </c>
      <c r="Z181" s="55">
        <f t="shared" si="36"/>
        <v>489.86650240080877</v>
      </c>
      <c r="AA181" s="55">
        <f t="shared" si="37"/>
        <v>489.86650240080877</v>
      </c>
      <c r="AB181" s="52">
        <f t="shared" si="38"/>
        <v>0.39912621020801209</v>
      </c>
      <c r="AC181" s="52">
        <f t="shared" si="39"/>
        <v>0.53473151724137924</v>
      </c>
      <c r="AD181" s="52">
        <f t="shared" si="40"/>
        <v>261.9470580745122</v>
      </c>
      <c r="AE181" s="62">
        <f t="shared" si="41"/>
        <v>183.36294065215853</v>
      </c>
    </row>
    <row r="182" spans="1:31" x14ac:dyDescent="0.3">
      <c r="A182" t="s">
        <v>286</v>
      </c>
      <c r="B182" t="s">
        <v>60</v>
      </c>
      <c r="C182" t="s">
        <v>61</v>
      </c>
      <c r="D182">
        <v>1</v>
      </c>
      <c r="E182" s="52">
        <v>800</v>
      </c>
      <c r="F182" s="53">
        <v>0.56986300000000001</v>
      </c>
      <c r="G182" s="54">
        <v>5470.6848</v>
      </c>
      <c r="H182" s="52">
        <v>104</v>
      </c>
      <c r="I182" s="53">
        <v>0.56986300000000001</v>
      </c>
      <c r="J182" s="52">
        <v>53</v>
      </c>
      <c r="K182" s="52">
        <v>188</v>
      </c>
      <c r="L182" s="52">
        <f t="shared" si="28"/>
        <v>135</v>
      </c>
      <c r="M182" s="52">
        <f t="shared" si="29"/>
        <v>51</v>
      </c>
      <c r="N182" s="55">
        <f t="shared" si="30"/>
        <v>0.40222222222222226</v>
      </c>
      <c r="O182" s="56">
        <f t="shared" si="31"/>
        <v>0.56986300000000001</v>
      </c>
      <c r="V182" s="54">
        <f t="shared" si="32"/>
        <v>53</v>
      </c>
      <c r="W182" s="52">
        <f t="shared" si="33"/>
        <v>168.75</v>
      </c>
      <c r="X182" s="52">
        <f t="shared" si="34"/>
        <v>36.125</v>
      </c>
      <c r="Y182" s="55">
        <f t="shared" si="35"/>
        <v>-106.61485974222896</v>
      </c>
      <c r="Z182" s="55">
        <f t="shared" si="36"/>
        <v>108.74909969673996</v>
      </c>
      <c r="AA182" s="55">
        <f t="shared" si="37"/>
        <v>108.74909969673996</v>
      </c>
      <c r="AB182" s="52">
        <f t="shared" si="38"/>
        <v>0.43036503523994052</v>
      </c>
      <c r="AC182" s="52">
        <f t="shared" si="39"/>
        <v>0.51000911111111114</v>
      </c>
      <c r="AD182" s="52">
        <f t="shared" si="40"/>
        <v>55.463031670467956</v>
      </c>
      <c r="AE182" s="62">
        <f t="shared" si="41"/>
        <v>38.824122169327566</v>
      </c>
    </row>
    <row r="183" spans="1:31" x14ac:dyDescent="0.3">
      <c r="A183" t="s">
        <v>287</v>
      </c>
      <c r="B183" t="s">
        <v>285</v>
      </c>
      <c r="C183" t="s">
        <v>70</v>
      </c>
      <c r="D183">
        <v>1</v>
      </c>
      <c r="E183" s="52">
        <v>4500</v>
      </c>
      <c r="F183" s="53">
        <v>0.86849299999999996</v>
      </c>
      <c r="G183" s="54">
        <v>46898.621999999996</v>
      </c>
      <c r="H183" s="52">
        <v>200</v>
      </c>
      <c r="I183" s="53">
        <v>0.86849299999999996</v>
      </c>
      <c r="J183" s="52">
        <v>103</v>
      </c>
      <c r="K183" s="52">
        <v>807</v>
      </c>
      <c r="L183" s="52">
        <f t="shared" si="28"/>
        <v>704</v>
      </c>
      <c r="M183" s="52">
        <f t="shared" si="29"/>
        <v>97</v>
      </c>
      <c r="N183" s="55">
        <f t="shared" si="30"/>
        <v>0.21022727272727276</v>
      </c>
      <c r="O183" s="56">
        <f t="shared" si="31"/>
        <v>0.86849299999999996</v>
      </c>
      <c r="V183" s="54">
        <f t="shared" si="32"/>
        <v>103</v>
      </c>
      <c r="W183" s="52">
        <f t="shared" si="33"/>
        <v>880</v>
      </c>
      <c r="X183" s="52">
        <f t="shared" si="34"/>
        <v>15</v>
      </c>
      <c r="Y183" s="55">
        <f t="shared" si="35"/>
        <v>-555.97675006317922</v>
      </c>
      <c r="Z183" s="55">
        <f t="shared" si="36"/>
        <v>480.41382360374024</v>
      </c>
      <c r="AA183" s="55">
        <f t="shared" si="37"/>
        <v>480.41382360374024</v>
      </c>
      <c r="AB183" s="52">
        <f t="shared" si="38"/>
        <v>0.52887934500425027</v>
      </c>
      <c r="AC183" s="52">
        <f t="shared" si="39"/>
        <v>0.43204488636363636</v>
      </c>
      <c r="AD183" s="52">
        <f t="shared" si="40"/>
        <v>207.56033582639799</v>
      </c>
      <c r="AE183" s="62">
        <f t="shared" si="41"/>
        <v>145.29223507847857</v>
      </c>
    </row>
    <row r="184" spans="1:31" x14ac:dyDescent="0.3">
      <c r="A184" t="s">
        <v>288</v>
      </c>
      <c r="B184" t="s">
        <v>285</v>
      </c>
      <c r="C184" t="s">
        <v>70</v>
      </c>
      <c r="D184">
        <v>2</v>
      </c>
      <c r="E184" s="52">
        <v>5500</v>
      </c>
      <c r="F184" s="53">
        <v>0.52328799999999998</v>
      </c>
      <c r="G184" s="54">
        <v>34537.008000000002</v>
      </c>
      <c r="H184" s="52">
        <v>428</v>
      </c>
      <c r="I184" s="53">
        <v>0.52328799999999998</v>
      </c>
      <c r="J184" s="52">
        <v>200</v>
      </c>
      <c r="K184" s="52">
        <v>770</v>
      </c>
      <c r="L184" s="52">
        <f t="shared" si="28"/>
        <v>570</v>
      </c>
      <c r="M184" s="52">
        <f t="shared" si="29"/>
        <v>228</v>
      </c>
      <c r="N184" s="55">
        <f t="shared" si="30"/>
        <v>0.42000000000000004</v>
      </c>
      <c r="O184" s="56">
        <f t="shared" si="31"/>
        <v>0.52328799999999998</v>
      </c>
      <c r="V184" s="54">
        <f t="shared" si="32"/>
        <v>200</v>
      </c>
      <c r="W184" s="52">
        <f t="shared" si="33"/>
        <v>712.5</v>
      </c>
      <c r="X184" s="52">
        <f t="shared" si="34"/>
        <v>128.75</v>
      </c>
      <c r="Y184" s="55">
        <f t="shared" si="35"/>
        <v>-450.15163002274448</v>
      </c>
      <c r="Z184" s="55">
        <f t="shared" si="36"/>
        <v>447.2739764973465</v>
      </c>
      <c r="AA184" s="55">
        <f t="shared" si="37"/>
        <v>447.2739764973465</v>
      </c>
      <c r="AB184" s="52">
        <f t="shared" si="38"/>
        <v>0.4470511950839951</v>
      </c>
      <c r="AC184" s="52">
        <f t="shared" si="39"/>
        <v>0.49680368421052629</v>
      </c>
      <c r="AD184" s="52">
        <f t="shared" si="40"/>
        <v>222.2073593753741</v>
      </c>
      <c r="AE184" s="62">
        <f t="shared" si="41"/>
        <v>155.54515156276184</v>
      </c>
    </row>
    <row r="185" spans="1:31" x14ac:dyDescent="0.3">
      <c r="A185" t="s">
        <v>289</v>
      </c>
      <c r="B185" t="s">
        <v>285</v>
      </c>
      <c r="C185" t="s">
        <v>61</v>
      </c>
      <c r="D185">
        <v>1</v>
      </c>
      <c r="E185" s="52">
        <v>3500</v>
      </c>
      <c r="F185" s="53">
        <v>0.46027400000000002</v>
      </c>
      <c r="G185" s="54">
        <v>19331.508000000002</v>
      </c>
      <c r="H185" s="52">
        <v>576</v>
      </c>
      <c r="I185" s="53">
        <v>0.46027400000000002</v>
      </c>
      <c r="J185" s="52">
        <v>151</v>
      </c>
      <c r="K185" s="52">
        <v>890</v>
      </c>
      <c r="L185" s="52">
        <f t="shared" si="28"/>
        <v>739</v>
      </c>
      <c r="M185" s="52">
        <f t="shared" si="29"/>
        <v>425</v>
      </c>
      <c r="N185" s="55">
        <f t="shared" si="30"/>
        <v>0.56008119079837615</v>
      </c>
      <c r="O185" s="56">
        <f t="shared" si="31"/>
        <v>0.46027400000000002</v>
      </c>
      <c r="V185" s="54">
        <f t="shared" si="32"/>
        <v>151</v>
      </c>
      <c r="W185" s="52">
        <f t="shared" si="33"/>
        <v>923.75</v>
      </c>
      <c r="X185" s="52">
        <f t="shared" si="34"/>
        <v>58.625</v>
      </c>
      <c r="Y185" s="55">
        <f t="shared" si="35"/>
        <v>-583.61763962597934</v>
      </c>
      <c r="Z185" s="55">
        <f t="shared" si="36"/>
        <v>525.73766426585803</v>
      </c>
      <c r="AA185" s="55">
        <f t="shared" si="37"/>
        <v>525.73766426585803</v>
      </c>
      <c r="AB185" s="52">
        <f t="shared" si="38"/>
        <v>0.50567000191161893</v>
      </c>
      <c r="AC185" s="52">
        <f t="shared" si="39"/>
        <v>0.45041276048714479</v>
      </c>
      <c r="AD185" s="52">
        <f t="shared" si="40"/>
        <v>236.79895265404886</v>
      </c>
      <c r="AE185" s="62">
        <f t="shared" si="41"/>
        <v>165.75926685783421</v>
      </c>
    </row>
    <row r="186" spans="1:31" x14ac:dyDescent="0.3">
      <c r="A186" t="s">
        <v>290</v>
      </c>
      <c r="B186" t="s">
        <v>291</v>
      </c>
      <c r="C186" t="s">
        <v>61</v>
      </c>
      <c r="D186">
        <v>2</v>
      </c>
      <c r="E186" s="52">
        <v>4000</v>
      </c>
      <c r="F186" s="53">
        <v>0.35342499999999999</v>
      </c>
      <c r="G186" s="54">
        <v>16964.399999999998</v>
      </c>
      <c r="H186" s="52">
        <v>560</v>
      </c>
      <c r="I186" s="53">
        <v>0.35342499999999999</v>
      </c>
      <c r="J186" s="52">
        <v>218</v>
      </c>
      <c r="K186" s="52">
        <v>681</v>
      </c>
      <c r="L186" s="52">
        <f t="shared" si="28"/>
        <v>463</v>
      </c>
      <c r="M186" s="52">
        <f t="shared" si="29"/>
        <v>342</v>
      </c>
      <c r="N186" s="55">
        <f t="shared" si="30"/>
        <v>0.69092872570194386</v>
      </c>
      <c r="O186" s="56">
        <f t="shared" si="31"/>
        <v>0.35342499999999999</v>
      </c>
      <c r="V186" s="54">
        <f t="shared" si="32"/>
        <v>218</v>
      </c>
      <c r="W186" s="52">
        <f t="shared" si="33"/>
        <v>578.75</v>
      </c>
      <c r="X186" s="52">
        <f t="shared" si="34"/>
        <v>160.125</v>
      </c>
      <c r="Y186" s="55">
        <f t="shared" si="35"/>
        <v>-365.6494819307556</v>
      </c>
      <c r="Z186" s="55">
        <f t="shared" si="36"/>
        <v>391.08394933030075</v>
      </c>
      <c r="AA186" s="55">
        <f t="shared" si="37"/>
        <v>391.08394933030075</v>
      </c>
      <c r="AB186" s="52">
        <f t="shared" si="38"/>
        <v>0.39906513923162118</v>
      </c>
      <c r="AC186" s="52">
        <f t="shared" si="39"/>
        <v>0.53477984881209495</v>
      </c>
      <c r="AD186" s="52">
        <f t="shared" si="40"/>
        <v>209.14381529569525</v>
      </c>
      <c r="AE186" s="62">
        <f t="shared" si="41"/>
        <v>146.40067070698666</v>
      </c>
    </row>
    <row r="187" spans="1:31" x14ac:dyDescent="0.3">
      <c r="A187" t="s">
        <v>292</v>
      </c>
      <c r="B187" t="s">
        <v>291</v>
      </c>
      <c r="C187" t="s">
        <v>61</v>
      </c>
      <c r="D187">
        <v>1</v>
      </c>
      <c r="E187" s="52">
        <v>3000</v>
      </c>
      <c r="F187" s="53">
        <v>0.49863000000000002</v>
      </c>
      <c r="G187" s="54">
        <v>17950.68</v>
      </c>
      <c r="H187" s="52">
        <v>288</v>
      </c>
      <c r="I187" s="53">
        <v>0.49863000000000002</v>
      </c>
      <c r="J187" s="52">
        <v>109</v>
      </c>
      <c r="K187" s="52">
        <v>640</v>
      </c>
      <c r="L187" s="52">
        <f t="shared" si="28"/>
        <v>531</v>
      </c>
      <c r="M187" s="52">
        <f t="shared" si="29"/>
        <v>179</v>
      </c>
      <c r="N187" s="55">
        <f t="shared" si="30"/>
        <v>0.36967984934086628</v>
      </c>
      <c r="O187" s="56">
        <f t="shared" si="31"/>
        <v>0.49863000000000002</v>
      </c>
      <c r="V187" s="54">
        <f t="shared" si="32"/>
        <v>109</v>
      </c>
      <c r="W187" s="52">
        <f t="shared" si="33"/>
        <v>663.75</v>
      </c>
      <c r="X187" s="52">
        <f t="shared" si="34"/>
        <v>42.625</v>
      </c>
      <c r="Y187" s="55">
        <f t="shared" si="35"/>
        <v>-419.35178165276727</v>
      </c>
      <c r="Z187" s="55">
        <f t="shared" si="36"/>
        <v>378.01312547384384</v>
      </c>
      <c r="AA187" s="55">
        <f t="shared" si="37"/>
        <v>378.01312547384384</v>
      </c>
      <c r="AB187" s="52">
        <f t="shared" si="38"/>
        <v>0.50529284440503786</v>
      </c>
      <c r="AC187" s="52">
        <f t="shared" si="39"/>
        <v>0.45071124293785308</v>
      </c>
      <c r="AD187" s="52">
        <f t="shared" si="40"/>
        <v>170.37476562913878</v>
      </c>
      <c r="AE187" s="62">
        <f t="shared" si="41"/>
        <v>119.26233594039714</v>
      </c>
    </row>
    <row r="188" spans="1:31" x14ac:dyDescent="0.3">
      <c r="A188" t="s">
        <v>293</v>
      </c>
      <c r="B188" t="s">
        <v>294</v>
      </c>
      <c r="C188" t="s">
        <v>61</v>
      </c>
      <c r="D188">
        <v>2</v>
      </c>
      <c r="E188" s="52">
        <v>5600</v>
      </c>
      <c r="F188" s="53">
        <v>0.51506799999999997</v>
      </c>
      <c r="G188" s="54">
        <v>34612.569599999995</v>
      </c>
      <c r="H188" s="52">
        <v>373</v>
      </c>
      <c r="I188" s="53">
        <v>0.51506799999999997</v>
      </c>
      <c r="J188" s="52">
        <v>196</v>
      </c>
      <c r="K188" s="52">
        <v>612</v>
      </c>
      <c r="L188" s="52">
        <f t="shared" si="28"/>
        <v>416</v>
      </c>
      <c r="M188" s="52">
        <f t="shared" si="29"/>
        <v>177</v>
      </c>
      <c r="N188" s="55">
        <f t="shared" si="30"/>
        <v>0.44038461538461537</v>
      </c>
      <c r="O188" s="56">
        <f t="shared" si="31"/>
        <v>0.51506799999999997</v>
      </c>
      <c r="V188" s="54">
        <f t="shared" si="32"/>
        <v>196</v>
      </c>
      <c r="W188" s="52">
        <f t="shared" si="33"/>
        <v>520</v>
      </c>
      <c r="X188" s="52">
        <f t="shared" si="34"/>
        <v>144</v>
      </c>
      <c r="Y188" s="55">
        <f t="shared" si="35"/>
        <v>-328.53171594642407</v>
      </c>
      <c r="Z188" s="55">
        <f t="shared" si="36"/>
        <v>351.44907758402832</v>
      </c>
      <c r="AA188" s="55">
        <f t="shared" si="37"/>
        <v>351.44907758402832</v>
      </c>
      <c r="AB188" s="52">
        <f t="shared" si="38"/>
        <v>0.39894053381543909</v>
      </c>
      <c r="AC188" s="52">
        <f t="shared" si="39"/>
        <v>0.53487846153846152</v>
      </c>
      <c r="AD188" s="52">
        <f t="shared" si="40"/>
        <v>187.98254192725648</v>
      </c>
      <c r="AE188" s="62">
        <f t="shared" si="41"/>
        <v>131.58777934907954</v>
      </c>
    </row>
    <row r="189" spans="1:31" x14ac:dyDescent="0.3">
      <c r="A189" t="s">
        <v>295</v>
      </c>
      <c r="B189" t="s">
        <v>294</v>
      </c>
      <c r="C189" t="s">
        <v>70</v>
      </c>
      <c r="D189">
        <v>1</v>
      </c>
      <c r="E189" s="52">
        <v>3200</v>
      </c>
      <c r="F189" s="53">
        <v>0.87123300000000004</v>
      </c>
      <c r="G189" s="54">
        <v>33455.347200000004</v>
      </c>
      <c r="H189" s="52">
        <v>420</v>
      </c>
      <c r="I189" s="53">
        <v>0.87123300000000004</v>
      </c>
      <c r="J189" s="52">
        <v>165</v>
      </c>
      <c r="K189" s="52">
        <v>1296</v>
      </c>
      <c r="L189" s="52">
        <f t="shared" si="28"/>
        <v>1131</v>
      </c>
      <c r="M189" s="52">
        <f t="shared" si="29"/>
        <v>255</v>
      </c>
      <c r="N189" s="55">
        <f t="shared" si="30"/>
        <v>0.28037135278514591</v>
      </c>
      <c r="O189" s="56">
        <f t="shared" si="31"/>
        <v>0.87123300000000004</v>
      </c>
      <c r="V189" s="54">
        <f t="shared" si="32"/>
        <v>165</v>
      </c>
      <c r="W189" s="52">
        <f t="shared" si="33"/>
        <v>1413.75</v>
      </c>
      <c r="X189" s="52">
        <f t="shared" si="34"/>
        <v>23.625</v>
      </c>
      <c r="Y189" s="55">
        <f t="shared" si="35"/>
        <v>-893.19560272934041</v>
      </c>
      <c r="Z189" s="55">
        <f t="shared" si="36"/>
        <v>771.56467968157699</v>
      </c>
      <c r="AA189" s="55">
        <f t="shared" si="37"/>
        <v>771.56467968157699</v>
      </c>
      <c r="AB189" s="52">
        <f t="shared" si="38"/>
        <v>0.52904663461119505</v>
      </c>
      <c r="AC189" s="52">
        <f t="shared" si="39"/>
        <v>0.43191249336870025</v>
      </c>
      <c r="AD189" s="52">
        <f t="shared" si="40"/>
        <v>333.24842459649244</v>
      </c>
      <c r="AE189" s="62">
        <f t="shared" si="41"/>
        <v>233.27389721754469</v>
      </c>
    </row>
    <row r="190" spans="1:31" x14ac:dyDescent="0.3">
      <c r="A190" t="s">
        <v>296</v>
      </c>
      <c r="B190" t="s">
        <v>294</v>
      </c>
      <c r="C190" t="s">
        <v>70</v>
      </c>
      <c r="D190">
        <v>2</v>
      </c>
      <c r="E190" s="52">
        <v>3500</v>
      </c>
      <c r="F190" s="53">
        <v>0.50684899999999999</v>
      </c>
      <c r="G190" s="54">
        <v>21287.657999999999</v>
      </c>
      <c r="H190" s="52">
        <v>593</v>
      </c>
      <c r="I190" s="53">
        <v>0.50684899999999999</v>
      </c>
      <c r="J190" s="52">
        <v>268</v>
      </c>
      <c r="K190" s="52">
        <v>1032</v>
      </c>
      <c r="L190" s="52">
        <f t="shared" si="28"/>
        <v>764</v>
      </c>
      <c r="M190" s="52">
        <f t="shared" si="29"/>
        <v>325</v>
      </c>
      <c r="N190" s="55">
        <f t="shared" si="30"/>
        <v>0.44031413612565451</v>
      </c>
      <c r="O190" s="56">
        <f t="shared" si="31"/>
        <v>0.50684899999999999</v>
      </c>
      <c r="V190" s="54">
        <f t="shared" si="32"/>
        <v>268</v>
      </c>
      <c r="W190" s="52">
        <f t="shared" si="33"/>
        <v>955</v>
      </c>
      <c r="X190" s="52">
        <f t="shared" si="34"/>
        <v>172.5</v>
      </c>
      <c r="Y190" s="55">
        <f t="shared" si="35"/>
        <v>-603.36113217083653</v>
      </c>
      <c r="Z190" s="55">
        <f t="shared" si="36"/>
        <v>599.4689790245136</v>
      </c>
      <c r="AA190" s="55">
        <f t="shared" si="37"/>
        <v>599.4689790245136</v>
      </c>
      <c r="AB190" s="52">
        <f t="shared" si="38"/>
        <v>0.44708793615132314</v>
      </c>
      <c r="AC190" s="52">
        <f t="shared" si="39"/>
        <v>0.49677460732984291</v>
      </c>
      <c r="AD190" s="52">
        <f t="shared" si="40"/>
        <v>297.80096666132459</v>
      </c>
      <c r="AE190" s="62">
        <f t="shared" si="41"/>
        <v>208.4606766629272</v>
      </c>
    </row>
    <row r="191" spans="1:31" x14ac:dyDescent="0.3">
      <c r="A191" t="s">
        <v>297</v>
      </c>
      <c r="B191" t="s">
        <v>294</v>
      </c>
      <c r="C191" t="s">
        <v>61</v>
      </c>
      <c r="D191">
        <v>1</v>
      </c>
      <c r="E191" s="52">
        <v>3400</v>
      </c>
      <c r="F191" s="53">
        <v>0.282192</v>
      </c>
      <c r="G191" s="54">
        <v>11513.4336</v>
      </c>
      <c r="H191" s="52">
        <v>436</v>
      </c>
      <c r="I191" s="53">
        <v>0.282192</v>
      </c>
      <c r="J191" s="52">
        <v>106</v>
      </c>
      <c r="K191" s="52">
        <v>624</v>
      </c>
      <c r="L191" s="52">
        <f t="shared" si="28"/>
        <v>518</v>
      </c>
      <c r="M191" s="52">
        <f t="shared" si="29"/>
        <v>330</v>
      </c>
      <c r="N191" s="55">
        <f t="shared" si="30"/>
        <v>0.60965250965250961</v>
      </c>
      <c r="O191" s="56">
        <f t="shared" si="31"/>
        <v>0.282192</v>
      </c>
      <c r="V191" s="54">
        <f t="shared" si="32"/>
        <v>106</v>
      </c>
      <c r="W191" s="52">
        <f t="shared" si="33"/>
        <v>647.5</v>
      </c>
      <c r="X191" s="52">
        <f t="shared" si="34"/>
        <v>41.25</v>
      </c>
      <c r="Y191" s="55">
        <f t="shared" si="35"/>
        <v>-409.0851655294415</v>
      </c>
      <c r="Z191" s="55">
        <f t="shared" si="36"/>
        <v>368.59284179934292</v>
      </c>
      <c r="AA191" s="55">
        <f t="shared" si="37"/>
        <v>368.59284179934292</v>
      </c>
      <c r="AB191" s="52">
        <f t="shared" si="38"/>
        <v>0.5055487904236956</v>
      </c>
      <c r="AC191" s="52">
        <f t="shared" si="39"/>
        <v>0.45050868725868731</v>
      </c>
      <c r="AD191" s="52">
        <f t="shared" si="40"/>
        <v>166.05427729197098</v>
      </c>
      <c r="AE191" s="62">
        <f t="shared" si="41"/>
        <v>116.23799410437968</v>
      </c>
    </row>
    <row r="192" spans="1:31" x14ac:dyDescent="0.3">
      <c r="A192" t="s">
        <v>298</v>
      </c>
      <c r="B192" t="s">
        <v>299</v>
      </c>
      <c r="C192" t="s">
        <v>61</v>
      </c>
      <c r="D192">
        <v>2</v>
      </c>
      <c r="E192" s="52">
        <v>4200</v>
      </c>
      <c r="F192" s="53">
        <v>0.542466</v>
      </c>
      <c r="G192" s="54">
        <v>27340.286400000001</v>
      </c>
      <c r="H192" s="52">
        <v>426</v>
      </c>
      <c r="I192" s="53">
        <v>0.542466</v>
      </c>
      <c r="J192" s="52">
        <v>210</v>
      </c>
      <c r="K192" s="52">
        <v>654</v>
      </c>
      <c r="L192" s="52">
        <f t="shared" si="28"/>
        <v>444</v>
      </c>
      <c r="M192" s="52">
        <f t="shared" si="29"/>
        <v>216</v>
      </c>
      <c r="N192" s="55">
        <f t="shared" si="30"/>
        <v>0.48918918918918919</v>
      </c>
      <c r="O192" s="56">
        <f t="shared" si="31"/>
        <v>0.542466</v>
      </c>
      <c r="V192" s="54">
        <f t="shared" si="32"/>
        <v>210</v>
      </c>
      <c r="W192" s="52">
        <f t="shared" si="33"/>
        <v>555</v>
      </c>
      <c r="X192" s="52">
        <f t="shared" si="34"/>
        <v>154.5</v>
      </c>
      <c r="Y192" s="55">
        <f t="shared" si="35"/>
        <v>-350.64442759666412</v>
      </c>
      <c r="Z192" s="55">
        <f t="shared" si="36"/>
        <v>375.50815011372254</v>
      </c>
      <c r="AA192" s="55">
        <f t="shared" si="37"/>
        <v>375.50815011372254</v>
      </c>
      <c r="AB192" s="52">
        <f t="shared" si="38"/>
        <v>0.39821288308778835</v>
      </c>
      <c r="AC192" s="52">
        <f t="shared" si="39"/>
        <v>0.53545432432432438</v>
      </c>
      <c r="AD192" s="52">
        <f t="shared" si="40"/>
        <v>201.06746279742026</v>
      </c>
      <c r="AE192" s="62">
        <f t="shared" si="41"/>
        <v>140.74722395819418</v>
      </c>
    </row>
    <row r="193" spans="1:31" x14ac:dyDescent="0.3">
      <c r="A193" t="s">
        <v>300</v>
      </c>
      <c r="B193" t="s">
        <v>301</v>
      </c>
      <c r="C193" t="s">
        <v>61</v>
      </c>
      <c r="D193">
        <v>2</v>
      </c>
      <c r="E193" s="52">
        <v>1100</v>
      </c>
      <c r="F193" s="53">
        <v>8.2192000000000001E-2</v>
      </c>
      <c r="G193" s="54">
        <v>1084.9344000000001</v>
      </c>
      <c r="H193" s="52">
        <v>142</v>
      </c>
      <c r="I193" s="53">
        <v>8.2192000000000001E-2</v>
      </c>
      <c r="J193" s="52">
        <v>111</v>
      </c>
      <c r="K193" s="52">
        <v>148</v>
      </c>
      <c r="L193" s="52">
        <f t="shared" si="28"/>
        <v>37</v>
      </c>
      <c r="M193" s="52">
        <f t="shared" si="29"/>
        <v>31</v>
      </c>
      <c r="N193" s="55">
        <f t="shared" si="30"/>
        <v>0.77027027027027029</v>
      </c>
      <c r="O193" s="56">
        <f t="shared" si="31"/>
        <v>8.2192000000000001E-2</v>
      </c>
      <c r="V193" s="54">
        <f t="shared" si="32"/>
        <v>111</v>
      </c>
      <c r="W193" s="52">
        <f t="shared" si="33"/>
        <v>46.25</v>
      </c>
      <c r="X193" s="52">
        <f t="shared" si="34"/>
        <v>106.375</v>
      </c>
      <c r="Y193" s="55">
        <f t="shared" si="35"/>
        <v>-29.22036896638868</v>
      </c>
      <c r="Z193" s="55">
        <f t="shared" si="36"/>
        <v>78.042345842810207</v>
      </c>
      <c r="AA193" s="55">
        <f t="shared" si="37"/>
        <v>111</v>
      </c>
      <c r="AB193" s="52">
        <f t="shared" si="38"/>
        <v>0.1</v>
      </c>
      <c r="AC193" s="52">
        <f t="shared" si="39"/>
        <v>0.77146000000000003</v>
      </c>
      <c r="AD193" s="52">
        <f t="shared" si="40"/>
        <v>85.63206000000001</v>
      </c>
      <c r="AE193" s="62">
        <f t="shared" si="41"/>
        <v>59.942442</v>
      </c>
    </row>
    <row r="194" spans="1:31" x14ac:dyDescent="0.3">
      <c r="A194" t="s">
        <v>302</v>
      </c>
      <c r="B194" t="s">
        <v>299</v>
      </c>
      <c r="C194" t="s">
        <v>70</v>
      </c>
      <c r="D194">
        <v>1</v>
      </c>
      <c r="E194" s="52">
        <v>3000</v>
      </c>
      <c r="F194" s="53">
        <v>0.347945</v>
      </c>
      <c r="G194" s="54">
        <v>12526.02</v>
      </c>
      <c r="H194" s="52">
        <v>621</v>
      </c>
      <c r="I194" s="53">
        <v>0.347945</v>
      </c>
      <c r="J194" s="52">
        <v>133</v>
      </c>
      <c r="K194" s="52">
        <v>1040</v>
      </c>
      <c r="L194" s="52">
        <f t="shared" si="28"/>
        <v>907</v>
      </c>
      <c r="M194" s="52">
        <f t="shared" si="29"/>
        <v>488</v>
      </c>
      <c r="N194" s="55">
        <f t="shared" si="30"/>
        <v>0.53042998897464166</v>
      </c>
      <c r="O194" s="56">
        <f t="shared" si="31"/>
        <v>0.347945</v>
      </c>
      <c r="V194" s="54">
        <f t="shared" si="32"/>
        <v>133</v>
      </c>
      <c r="W194" s="52">
        <f t="shared" si="33"/>
        <v>1133.75</v>
      </c>
      <c r="X194" s="52">
        <f t="shared" si="34"/>
        <v>19.625</v>
      </c>
      <c r="Y194" s="55">
        <f t="shared" si="35"/>
        <v>-716.29390952741971</v>
      </c>
      <c r="Z194" s="55">
        <f t="shared" si="36"/>
        <v>619.09209944402323</v>
      </c>
      <c r="AA194" s="55">
        <f t="shared" si="37"/>
        <v>619.09209944402323</v>
      </c>
      <c r="AB194" s="52">
        <f t="shared" si="38"/>
        <v>0.52874716599252325</v>
      </c>
      <c r="AC194" s="52">
        <f t="shared" si="39"/>
        <v>0.43214949283351711</v>
      </c>
      <c r="AD194" s="52">
        <f t="shared" si="40"/>
        <v>267.54033679197198</v>
      </c>
      <c r="AE194" s="62">
        <f t="shared" si="41"/>
        <v>187.27823575438038</v>
      </c>
    </row>
    <row r="195" spans="1:31" x14ac:dyDescent="0.3">
      <c r="A195" t="s">
        <v>303</v>
      </c>
      <c r="B195" t="s">
        <v>299</v>
      </c>
      <c r="C195" t="s">
        <v>70</v>
      </c>
      <c r="D195">
        <v>2</v>
      </c>
      <c r="E195" s="52">
        <v>3900</v>
      </c>
      <c r="F195" s="53">
        <v>0.47671199999999997</v>
      </c>
      <c r="G195" s="54">
        <v>22310.121599999999</v>
      </c>
      <c r="H195" s="52">
        <v>535</v>
      </c>
      <c r="I195" s="53">
        <v>0.47671199999999997</v>
      </c>
      <c r="J195" s="52">
        <v>231</v>
      </c>
      <c r="K195" s="52">
        <v>888</v>
      </c>
      <c r="L195" s="52">
        <f t="shared" si="28"/>
        <v>657</v>
      </c>
      <c r="M195" s="52">
        <f t="shared" si="29"/>
        <v>304</v>
      </c>
      <c r="N195" s="55">
        <f t="shared" si="30"/>
        <v>0.4701674277016743</v>
      </c>
      <c r="O195" s="56">
        <f t="shared" si="31"/>
        <v>0.47671199999999997</v>
      </c>
      <c r="V195" s="54">
        <f t="shared" si="32"/>
        <v>231</v>
      </c>
      <c r="W195" s="52">
        <f t="shared" si="33"/>
        <v>821.25</v>
      </c>
      <c r="X195" s="52">
        <f t="shared" si="34"/>
        <v>148.875</v>
      </c>
      <c r="Y195" s="55">
        <f t="shared" si="35"/>
        <v>-518.85898407884758</v>
      </c>
      <c r="Z195" s="55">
        <f t="shared" si="36"/>
        <v>515.77895185746775</v>
      </c>
      <c r="AA195" s="55">
        <f t="shared" si="37"/>
        <v>515.77895185746775</v>
      </c>
      <c r="AB195" s="52">
        <f t="shared" si="38"/>
        <v>0.44676280287058479</v>
      </c>
      <c r="AC195" s="52">
        <f t="shared" si="39"/>
        <v>0.4970319178082192</v>
      </c>
      <c r="AD195" s="52">
        <f t="shared" si="40"/>
        <v>256.35860160683035</v>
      </c>
      <c r="AE195" s="62">
        <f t="shared" si="41"/>
        <v>179.45102112478122</v>
      </c>
    </row>
    <row r="196" spans="1:31" x14ac:dyDescent="0.3">
      <c r="A196" t="s">
        <v>304</v>
      </c>
      <c r="B196" t="s">
        <v>299</v>
      </c>
      <c r="C196" t="s">
        <v>61</v>
      </c>
      <c r="D196">
        <v>1</v>
      </c>
      <c r="E196" s="52">
        <v>3600</v>
      </c>
      <c r="F196" s="53">
        <v>0.77808199999999994</v>
      </c>
      <c r="G196" s="54">
        <v>33613.142399999997</v>
      </c>
      <c r="H196" s="52">
        <v>196</v>
      </c>
      <c r="I196" s="53">
        <v>0.77808199999999994</v>
      </c>
      <c r="J196" s="52">
        <v>137</v>
      </c>
      <c r="K196" s="52">
        <v>808</v>
      </c>
      <c r="L196" s="52">
        <f t="shared" si="28"/>
        <v>671</v>
      </c>
      <c r="M196" s="52">
        <f t="shared" si="29"/>
        <v>59</v>
      </c>
      <c r="N196" s="55">
        <f t="shared" si="30"/>
        <v>0.17034277198211625</v>
      </c>
      <c r="O196" s="56">
        <f t="shared" si="31"/>
        <v>0.77808199999999994</v>
      </c>
      <c r="V196" s="54">
        <f t="shared" si="32"/>
        <v>137</v>
      </c>
      <c r="W196" s="52">
        <f t="shared" si="33"/>
        <v>838.75</v>
      </c>
      <c r="X196" s="52">
        <f t="shared" si="34"/>
        <v>53.125</v>
      </c>
      <c r="Y196" s="55">
        <f t="shared" si="35"/>
        <v>-529.91533990396761</v>
      </c>
      <c r="Z196" s="55">
        <f t="shared" si="36"/>
        <v>477.30848812231488</v>
      </c>
      <c r="AA196" s="55">
        <f t="shared" si="37"/>
        <v>477.30848812231488</v>
      </c>
      <c r="AB196" s="52">
        <f t="shared" si="38"/>
        <v>0.50573292175536799</v>
      </c>
      <c r="AC196" s="52">
        <f t="shared" si="39"/>
        <v>0.45036296572280182</v>
      </c>
      <c r="AD196" s="52">
        <f t="shared" si="40"/>
        <v>214.96206627543245</v>
      </c>
      <c r="AE196" s="62">
        <f t="shared" si="41"/>
        <v>150.47344639280271</v>
      </c>
    </row>
    <row r="197" spans="1:31" x14ac:dyDescent="0.3">
      <c r="A197" t="s">
        <v>305</v>
      </c>
      <c r="B197" t="s">
        <v>306</v>
      </c>
      <c r="C197" t="s">
        <v>61</v>
      </c>
      <c r="D197">
        <v>2</v>
      </c>
      <c r="E197" s="52">
        <v>3500</v>
      </c>
      <c r="F197" s="53">
        <v>0.39726</v>
      </c>
      <c r="G197" s="54">
        <v>16684.920000000002</v>
      </c>
      <c r="H197" s="52">
        <v>294</v>
      </c>
      <c r="I197" s="53">
        <v>0.39726</v>
      </c>
      <c r="J197" s="52">
        <v>155</v>
      </c>
      <c r="K197" s="52">
        <v>483</v>
      </c>
      <c r="L197" s="52">
        <f t="shared" ref="L197:L247" si="42">K197-J197</f>
        <v>328</v>
      </c>
      <c r="M197" s="52">
        <f t="shared" ref="M197:M247" si="43">H197-J197</f>
        <v>139</v>
      </c>
      <c r="N197" s="55">
        <f t="shared" ref="N197:N247" si="44">($K$2*(M197))/L197+0.1</f>
        <v>0.4390243902439025</v>
      </c>
      <c r="O197" s="56">
        <f t="shared" ref="O197:O247" si="45">I197</f>
        <v>0.39726</v>
      </c>
      <c r="V197" s="54">
        <f t="shared" ref="V197:V247" si="46">J197</f>
        <v>155</v>
      </c>
      <c r="W197" s="52">
        <f t="shared" ref="W197:W247" si="47">1.25*L197</f>
        <v>410</v>
      </c>
      <c r="X197" s="52">
        <f t="shared" ref="X197:X247" si="48">V197-(L197)/8</f>
        <v>114</v>
      </c>
      <c r="Y197" s="55">
        <f t="shared" ref="Y197:Y247" si="49">1.25*L197/(2*$R$2)</f>
        <v>-259.03462218852667</v>
      </c>
      <c r="Z197" s="55">
        <f t="shared" ref="Z197:Z247" si="50">(($R$2*X197)/W197-$S$2)*Y197</f>
        <v>277.33484963356079</v>
      </c>
      <c r="AA197" s="55">
        <f t="shared" ref="AA197:AA247" si="51">IF(Z197&gt;V197,Z197,V197)</f>
        <v>277.33484963356079</v>
      </c>
      <c r="AB197" s="52">
        <f t="shared" ref="AB197:AB247" si="52">(AA197-X197)/W197</f>
        <v>0.39837768203307511</v>
      </c>
      <c r="AC197" s="52">
        <f t="shared" ref="AC197:AC247" si="53">$R$2*AB197+$S$2</f>
        <v>0.53532390243902439</v>
      </c>
      <c r="AD197" s="52">
        <f t="shared" ref="AD197:AD247" si="54">AA197*AC197</f>
        <v>148.4639739881778</v>
      </c>
      <c r="AE197" s="62">
        <f t="shared" ref="AE197:AE247" si="55">AD197*(1-$U$1)</f>
        <v>103.92478179172446</v>
      </c>
    </row>
    <row r="198" spans="1:31" x14ac:dyDescent="0.3">
      <c r="A198" t="s">
        <v>307</v>
      </c>
      <c r="B198" t="s">
        <v>306</v>
      </c>
      <c r="C198" t="s">
        <v>70</v>
      </c>
      <c r="D198">
        <v>1</v>
      </c>
      <c r="E198" s="52">
        <v>2500</v>
      </c>
      <c r="F198" s="53">
        <v>0.6</v>
      </c>
      <c r="G198" s="54">
        <v>18000</v>
      </c>
      <c r="H198" s="52">
        <v>471</v>
      </c>
      <c r="I198" s="53">
        <v>0.6</v>
      </c>
      <c r="J198" s="52">
        <v>111</v>
      </c>
      <c r="K198" s="52">
        <v>868</v>
      </c>
      <c r="L198" s="52">
        <f t="shared" si="42"/>
        <v>757</v>
      </c>
      <c r="M198" s="52">
        <f t="shared" si="43"/>
        <v>360</v>
      </c>
      <c r="N198" s="55">
        <f t="shared" si="44"/>
        <v>0.480449141347424</v>
      </c>
      <c r="O198" s="56">
        <f t="shared" si="45"/>
        <v>0.6</v>
      </c>
      <c r="V198" s="54">
        <f t="shared" si="46"/>
        <v>111</v>
      </c>
      <c r="W198" s="52">
        <f t="shared" si="47"/>
        <v>946.25</v>
      </c>
      <c r="X198" s="52">
        <f t="shared" si="48"/>
        <v>16.375</v>
      </c>
      <c r="Y198" s="55">
        <f t="shared" si="49"/>
        <v>-597.83295425827646</v>
      </c>
      <c r="Z198" s="55">
        <f t="shared" si="50"/>
        <v>516.70421089209003</v>
      </c>
      <c r="AA198" s="55">
        <f t="shared" si="51"/>
        <v>516.70421089209003</v>
      </c>
      <c r="AB198" s="52">
        <f t="shared" si="52"/>
        <v>0.52874949631924972</v>
      </c>
      <c r="AC198" s="52">
        <f t="shared" si="53"/>
        <v>0.4321476486129458</v>
      </c>
      <c r="AD198" s="52">
        <f t="shared" si="54"/>
        <v>223.29250976542437</v>
      </c>
      <c r="AE198" s="62">
        <f t="shared" si="55"/>
        <v>156.30475683579704</v>
      </c>
    </row>
    <row r="199" spans="1:31" x14ac:dyDescent="0.3">
      <c r="A199" t="s">
        <v>308</v>
      </c>
      <c r="B199" t="s">
        <v>306</v>
      </c>
      <c r="C199" t="s">
        <v>70</v>
      </c>
      <c r="D199">
        <v>2</v>
      </c>
      <c r="E199" s="52">
        <v>3000</v>
      </c>
      <c r="F199" s="53">
        <v>0.29315099999999999</v>
      </c>
      <c r="G199" s="54">
        <v>10553.436</v>
      </c>
      <c r="H199" s="52">
        <v>620</v>
      </c>
      <c r="I199" s="53">
        <v>0.29315099999999999</v>
      </c>
      <c r="J199" s="52">
        <v>195</v>
      </c>
      <c r="K199" s="52">
        <v>752</v>
      </c>
      <c r="L199" s="52">
        <f t="shared" si="42"/>
        <v>557</v>
      </c>
      <c r="M199" s="52">
        <f t="shared" si="43"/>
        <v>425</v>
      </c>
      <c r="N199" s="55">
        <f t="shared" si="44"/>
        <v>0.71041292639138243</v>
      </c>
      <c r="O199" s="56">
        <f t="shared" si="45"/>
        <v>0.29315099999999999</v>
      </c>
      <c r="V199" s="54">
        <f t="shared" si="46"/>
        <v>195</v>
      </c>
      <c r="W199" s="52">
        <f t="shared" si="47"/>
        <v>696.25</v>
      </c>
      <c r="X199" s="52">
        <f t="shared" si="48"/>
        <v>125.375</v>
      </c>
      <c r="Y199" s="55">
        <f t="shared" si="49"/>
        <v>-439.88501389941877</v>
      </c>
      <c r="Z199" s="55">
        <f t="shared" si="50"/>
        <v>436.85369282284563</v>
      </c>
      <c r="AA199" s="55">
        <f t="shared" si="51"/>
        <v>436.85369282284563</v>
      </c>
      <c r="AB199" s="52">
        <f t="shared" si="52"/>
        <v>0.44736616563424864</v>
      </c>
      <c r="AC199" s="52">
        <f t="shared" si="53"/>
        <v>0.49655441651705567</v>
      </c>
      <c r="AD199" s="52">
        <f t="shared" si="54"/>
        <v>216.92163054296918</v>
      </c>
      <c r="AE199" s="62">
        <f t="shared" si="55"/>
        <v>151.84514138007842</v>
      </c>
    </row>
    <row r="200" spans="1:31" x14ac:dyDescent="0.3">
      <c r="A200" t="s">
        <v>309</v>
      </c>
      <c r="B200" t="s">
        <v>306</v>
      </c>
      <c r="C200" t="s">
        <v>61</v>
      </c>
      <c r="D200">
        <v>1</v>
      </c>
      <c r="E200" s="52">
        <v>3000</v>
      </c>
      <c r="F200" s="53">
        <v>0.641096</v>
      </c>
      <c r="G200" s="54">
        <v>23079.455999999998</v>
      </c>
      <c r="H200" s="52">
        <v>235</v>
      </c>
      <c r="I200" s="53">
        <v>0.641096</v>
      </c>
      <c r="J200" s="52">
        <v>80</v>
      </c>
      <c r="K200" s="52">
        <v>469</v>
      </c>
      <c r="L200" s="52">
        <f t="shared" si="42"/>
        <v>389</v>
      </c>
      <c r="M200" s="52">
        <f t="shared" si="43"/>
        <v>155</v>
      </c>
      <c r="N200" s="55">
        <f t="shared" si="44"/>
        <v>0.41876606683804629</v>
      </c>
      <c r="O200" s="56">
        <f t="shared" si="45"/>
        <v>0.641096</v>
      </c>
      <c r="V200" s="54">
        <f t="shared" si="46"/>
        <v>80</v>
      </c>
      <c r="W200" s="52">
        <f t="shared" si="47"/>
        <v>486.25</v>
      </c>
      <c r="X200" s="52">
        <f t="shared" si="48"/>
        <v>31.375</v>
      </c>
      <c r="Y200" s="55">
        <f t="shared" si="49"/>
        <v>-307.20874399797827</v>
      </c>
      <c r="Z200" s="55">
        <f t="shared" si="50"/>
        <v>276.99925764468031</v>
      </c>
      <c r="AA200" s="55">
        <f t="shared" si="51"/>
        <v>276.99925764468031</v>
      </c>
      <c r="AB200" s="52">
        <f t="shared" si="52"/>
        <v>0.50513986148006229</v>
      </c>
      <c r="AC200" s="52">
        <f t="shared" si="53"/>
        <v>0.45083231362467874</v>
      </c>
      <c r="AD200" s="52">
        <f t="shared" si="54"/>
        <v>124.8802161962697</v>
      </c>
      <c r="AE200" s="62">
        <f t="shared" si="55"/>
        <v>87.416151337388783</v>
      </c>
    </row>
    <row r="201" spans="1:31" x14ac:dyDescent="0.3">
      <c r="A201" t="s">
        <v>310</v>
      </c>
      <c r="B201" t="s">
        <v>311</v>
      </c>
      <c r="C201" t="s">
        <v>61</v>
      </c>
      <c r="D201">
        <v>2</v>
      </c>
      <c r="E201" s="52">
        <v>3900</v>
      </c>
      <c r="F201" s="53">
        <v>0.50411000000000006</v>
      </c>
      <c r="G201" s="54">
        <v>23592.348000000002</v>
      </c>
      <c r="H201" s="52">
        <v>284</v>
      </c>
      <c r="I201" s="53">
        <v>0.50411000000000006</v>
      </c>
      <c r="J201" s="52">
        <v>116</v>
      </c>
      <c r="K201" s="52">
        <v>361</v>
      </c>
      <c r="L201" s="52">
        <f t="shared" si="42"/>
        <v>245</v>
      </c>
      <c r="M201" s="52">
        <f t="shared" si="43"/>
        <v>168</v>
      </c>
      <c r="N201" s="55">
        <f t="shared" si="44"/>
        <v>0.64857142857142858</v>
      </c>
      <c r="O201" s="56">
        <f t="shared" si="45"/>
        <v>0.50411000000000006</v>
      </c>
      <c r="V201" s="54">
        <f t="shared" si="46"/>
        <v>116</v>
      </c>
      <c r="W201" s="52">
        <f t="shared" si="47"/>
        <v>306.25</v>
      </c>
      <c r="X201" s="52">
        <f t="shared" si="48"/>
        <v>85.375</v>
      </c>
      <c r="Y201" s="55">
        <f t="shared" si="49"/>
        <v>-193.4862269396007</v>
      </c>
      <c r="Z201" s="55">
        <f t="shared" si="50"/>
        <v>207.26688463482438</v>
      </c>
      <c r="AA201" s="55">
        <f t="shared" si="51"/>
        <v>207.26688463482438</v>
      </c>
      <c r="AB201" s="52">
        <f t="shared" si="52"/>
        <v>0.39801431717493674</v>
      </c>
      <c r="AC201" s="52">
        <f t="shared" si="53"/>
        <v>0.53561146938775517</v>
      </c>
      <c r="AD201" s="52">
        <f t="shared" si="54"/>
        <v>111.01452063468062</v>
      </c>
      <c r="AE201" s="62">
        <f t="shared" si="55"/>
        <v>77.71016444427643</v>
      </c>
    </row>
    <row r="202" spans="1:31" x14ac:dyDescent="0.3">
      <c r="A202" t="s">
        <v>312</v>
      </c>
      <c r="B202" t="s">
        <v>311</v>
      </c>
      <c r="C202" t="s">
        <v>70</v>
      </c>
      <c r="D202">
        <v>1</v>
      </c>
      <c r="E202" s="52">
        <v>2800</v>
      </c>
      <c r="F202" s="53">
        <v>0.40273999999999999</v>
      </c>
      <c r="G202" s="54">
        <v>13532.064</v>
      </c>
      <c r="H202" s="52">
        <v>355</v>
      </c>
      <c r="I202" s="53">
        <v>0.40273999999999999</v>
      </c>
      <c r="J202" s="52">
        <v>102</v>
      </c>
      <c r="K202" s="52">
        <v>799</v>
      </c>
      <c r="L202" s="52">
        <f t="shared" si="42"/>
        <v>697</v>
      </c>
      <c r="M202" s="52">
        <f t="shared" si="43"/>
        <v>253</v>
      </c>
      <c r="N202" s="55">
        <f t="shared" si="44"/>
        <v>0.39038737446197991</v>
      </c>
      <c r="O202" s="56">
        <f t="shared" si="45"/>
        <v>0.40273999999999999</v>
      </c>
      <c r="V202" s="54">
        <f t="shared" si="46"/>
        <v>102</v>
      </c>
      <c r="W202" s="52">
        <f t="shared" si="47"/>
        <v>871.25</v>
      </c>
      <c r="X202" s="52">
        <f t="shared" si="48"/>
        <v>14.875</v>
      </c>
      <c r="Y202" s="55">
        <f t="shared" si="49"/>
        <v>-550.44857215061916</v>
      </c>
      <c r="Z202" s="55">
        <f t="shared" si="50"/>
        <v>475.64905547131667</v>
      </c>
      <c r="AA202" s="55">
        <f t="shared" si="51"/>
        <v>475.64905547131667</v>
      </c>
      <c r="AB202" s="52">
        <f t="shared" si="52"/>
        <v>0.52886548691112389</v>
      </c>
      <c r="AC202" s="52">
        <f t="shared" si="53"/>
        <v>0.4320558536585366</v>
      </c>
      <c r="AD202" s="52">
        <f t="shared" si="54"/>
        <v>205.50695870353636</v>
      </c>
      <c r="AE202" s="62">
        <f t="shared" si="55"/>
        <v>143.85487109247543</v>
      </c>
    </row>
    <row r="203" spans="1:31" x14ac:dyDescent="0.3">
      <c r="A203" t="s">
        <v>313</v>
      </c>
      <c r="B203" t="s">
        <v>311</v>
      </c>
      <c r="C203" t="s">
        <v>70</v>
      </c>
      <c r="D203">
        <v>2</v>
      </c>
      <c r="E203" s="52">
        <v>3500</v>
      </c>
      <c r="F203" s="53">
        <v>0.50684899999999999</v>
      </c>
      <c r="G203" s="54">
        <v>21287.657999999999</v>
      </c>
      <c r="H203" s="52">
        <v>436</v>
      </c>
      <c r="I203" s="53">
        <v>0.50684899999999999</v>
      </c>
      <c r="J203" s="52">
        <v>188</v>
      </c>
      <c r="K203" s="52">
        <v>724</v>
      </c>
      <c r="L203" s="52">
        <f t="shared" si="42"/>
        <v>536</v>
      </c>
      <c r="M203" s="52">
        <f t="shared" si="43"/>
        <v>248</v>
      </c>
      <c r="N203" s="55">
        <f t="shared" si="44"/>
        <v>0.47014925373134331</v>
      </c>
      <c r="O203" s="56">
        <f t="shared" si="45"/>
        <v>0.50684899999999999</v>
      </c>
      <c r="V203" s="54">
        <f t="shared" si="46"/>
        <v>188</v>
      </c>
      <c r="W203" s="52">
        <f t="shared" si="47"/>
        <v>670</v>
      </c>
      <c r="X203" s="52">
        <f t="shared" si="48"/>
        <v>121</v>
      </c>
      <c r="Y203" s="55">
        <f t="shared" si="49"/>
        <v>-423.30048016173868</v>
      </c>
      <c r="Z203" s="55">
        <f t="shared" si="50"/>
        <v>420.55938842557492</v>
      </c>
      <c r="AA203" s="55">
        <f t="shared" si="51"/>
        <v>420.55938842557492</v>
      </c>
      <c r="AB203" s="52">
        <f t="shared" si="52"/>
        <v>0.44710356481429092</v>
      </c>
      <c r="AC203" s="52">
        <f t="shared" si="53"/>
        <v>0.4967622388059702</v>
      </c>
      <c r="AD203" s="52">
        <f t="shared" si="54"/>
        <v>208.91802334515822</v>
      </c>
      <c r="AE203" s="62">
        <f t="shared" si="55"/>
        <v>146.24261634161076</v>
      </c>
    </row>
    <row r="204" spans="1:31" x14ac:dyDescent="0.3">
      <c r="A204" t="s">
        <v>314</v>
      </c>
      <c r="B204" t="s">
        <v>301</v>
      </c>
      <c r="C204" t="s">
        <v>70</v>
      </c>
      <c r="D204">
        <v>1</v>
      </c>
      <c r="E204" s="52">
        <v>900</v>
      </c>
      <c r="F204" s="53">
        <v>0.54794500000000002</v>
      </c>
      <c r="G204" s="54">
        <v>5917.8060000000005</v>
      </c>
      <c r="H204" s="52">
        <v>141</v>
      </c>
      <c r="I204" s="53">
        <v>0.54794500000000002</v>
      </c>
      <c r="J204" s="52">
        <v>116</v>
      </c>
      <c r="K204" s="52">
        <v>296</v>
      </c>
      <c r="L204" s="52">
        <f t="shared" si="42"/>
        <v>180</v>
      </c>
      <c r="M204" s="52">
        <f t="shared" si="43"/>
        <v>25</v>
      </c>
      <c r="N204" s="55">
        <f t="shared" si="44"/>
        <v>0.21111111111111111</v>
      </c>
      <c r="O204" s="56">
        <f t="shared" si="45"/>
        <v>0.54794500000000002</v>
      </c>
      <c r="V204" s="54">
        <f t="shared" si="46"/>
        <v>116</v>
      </c>
      <c r="W204" s="52">
        <f t="shared" si="47"/>
        <v>225</v>
      </c>
      <c r="X204" s="52">
        <f t="shared" si="48"/>
        <v>93.5</v>
      </c>
      <c r="Y204" s="55">
        <f t="shared" si="49"/>
        <v>-142.15314632297196</v>
      </c>
      <c r="Z204" s="55">
        <f t="shared" si="50"/>
        <v>167.66546626231997</v>
      </c>
      <c r="AA204" s="55">
        <f t="shared" si="51"/>
        <v>167.66546626231997</v>
      </c>
      <c r="AB204" s="52">
        <f t="shared" si="52"/>
        <v>0.32962429449919983</v>
      </c>
      <c r="AC204" s="52">
        <f t="shared" si="53"/>
        <v>0.58973533333333328</v>
      </c>
      <c r="AD204" s="52">
        <f t="shared" si="54"/>
        <v>98.878249634698008</v>
      </c>
      <c r="AE204" s="62">
        <f t="shared" si="55"/>
        <v>69.214774744288604</v>
      </c>
    </row>
    <row r="205" spans="1:31" x14ac:dyDescent="0.3">
      <c r="A205" t="s">
        <v>315</v>
      </c>
      <c r="B205" t="s">
        <v>311</v>
      </c>
      <c r="C205" t="s">
        <v>61</v>
      </c>
      <c r="D205">
        <v>1</v>
      </c>
      <c r="E205" s="52">
        <v>2600</v>
      </c>
      <c r="F205" s="53">
        <v>0.369863</v>
      </c>
      <c r="G205" s="54">
        <v>11539.7256</v>
      </c>
      <c r="H205" s="52">
        <v>250</v>
      </c>
      <c r="I205" s="53">
        <v>0.369863</v>
      </c>
      <c r="J205" s="52">
        <v>69</v>
      </c>
      <c r="K205" s="52">
        <v>406</v>
      </c>
      <c r="L205" s="52">
        <f t="shared" si="42"/>
        <v>337</v>
      </c>
      <c r="M205" s="52">
        <f t="shared" si="43"/>
        <v>181</v>
      </c>
      <c r="N205" s="55">
        <f t="shared" si="44"/>
        <v>0.52967359050445106</v>
      </c>
      <c r="O205" s="56">
        <f t="shared" si="45"/>
        <v>0.369863</v>
      </c>
      <c r="V205" s="54">
        <f t="shared" si="46"/>
        <v>69</v>
      </c>
      <c r="W205" s="52">
        <f t="shared" si="47"/>
        <v>421.25</v>
      </c>
      <c r="X205" s="52">
        <f t="shared" si="48"/>
        <v>26.875</v>
      </c>
      <c r="Y205" s="55">
        <f t="shared" si="49"/>
        <v>-266.14227950467529</v>
      </c>
      <c r="Z205" s="55">
        <f t="shared" si="50"/>
        <v>239.81812294667682</v>
      </c>
      <c r="AA205" s="55">
        <f t="shared" si="51"/>
        <v>239.81812294667682</v>
      </c>
      <c r="AB205" s="52">
        <f t="shared" si="52"/>
        <v>0.50550296248469273</v>
      </c>
      <c r="AC205" s="52">
        <f t="shared" si="53"/>
        <v>0.45054495548961421</v>
      </c>
      <c r="AD205" s="52">
        <f t="shared" si="54"/>
        <v>108.04884552861334</v>
      </c>
      <c r="AE205" s="62">
        <f t="shared" si="55"/>
        <v>75.634191870029341</v>
      </c>
    </row>
    <row r="206" spans="1:31" x14ac:dyDescent="0.3">
      <c r="A206" t="s">
        <v>316</v>
      </c>
      <c r="B206" t="s">
        <v>317</v>
      </c>
      <c r="C206" t="s">
        <v>61</v>
      </c>
      <c r="D206">
        <v>2</v>
      </c>
      <c r="E206" s="52">
        <v>2695</v>
      </c>
      <c r="F206" s="53">
        <v>0.23561599999999999</v>
      </c>
      <c r="G206" s="54">
        <v>7619.8214399999997</v>
      </c>
      <c r="H206" s="52">
        <v>443</v>
      </c>
      <c r="I206" s="53">
        <v>0.23561599999999999</v>
      </c>
      <c r="J206" s="52">
        <v>265</v>
      </c>
      <c r="K206" s="52">
        <v>534</v>
      </c>
      <c r="L206" s="52">
        <f t="shared" si="42"/>
        <v>269</v>
      </c>
      <c r="M206" s="52">
        <f t="shared" si="43"/>
        <v>178</v>
      </c>
      <c r="N206" s="55">
        <f t="shared" si="44"/>
        <v>0.6293680297397769</v>
      </c>
      <c r="O206" s="56">
        <f t="shared" si="45"/>
        <v>0.23561599999999999</v>
      </c>
      <c r="V206" s="54">
        <f t="shared" si="46"/>
        <v>265</v>
      </c>
      <c r="W206" s="52">
        <f t="shared" si="47"/>
        <v>336.25</v>
      </c>
      <c r="X206" s="52">
        <f t="shared" si="48"/>
        <v>231.375</v>
      </c>
      <c r="Y206" s="55">
        <f t="shared" si="49"/>
        <v>-212.43997978266364</v>
      </c>
      <c r="Z206" s="55">
        <f t="shared" si="50"/>
        <v>296.38894680313371</v>
      </c>
      <c r="AA206" s="55">
        <f t="shared" si="51"/>
        <v>296.38894680313371</v>
      </c>
      <c r="AB206" s="52">
        <f t="shared" si="52"/>
        <v>0.19335002766731213</v>
      </c>
      <c r="AC206" s="52">
        <f t="shared" si="53"/>
        <v>0.69758278810408925</v>
      </c>
      <c r="AD206" s="52">
        <f t="shared" si="54"/>
        <v>206.75582787416459</v>
      </c>
      <c r="AE206" s="62">
        <f t="shared" si="55"/>
        <v>144.72907951191522</v>
      </c>
    </row>
    <row r="207" spans="1:31" x14ac:dyDescent="0.3">
      <c r="A207" t="s">
        <v>318</v>
      </c>
      <c r="B207" t="s">
        <v>317</v>
      </c>
      <c r="C207" t="s">
        <v>70</v>
      </c>
      <c r="D207">
        <v>1</v>
      </c>
      <c r="E207" s="52">
        <v>3000</v>
      </c>
      <c r="F207" s="53">
        <v>0.58082199999999995</v>
      </c>
      <c r="G207" s="54">
        <v>20909.591999999997</v>
      </c>
      <c r="H207" s="52">
        <v>343</v>
      </c>
      <c r="I207" s="53">
        <v>0.58082199999999995</v>
      </c>
      <c r="J207" s="52">
        <v>158</v>
      </c>
      <c r="K207" s="52">
        <v>706</v>
      </c>
      <c r="L207" s="52">
        <f t="shared" si="42"/>
        <v>548</v>
      </c>
      <c r="M207" s="52">
        <f t="shared" si="43"/>
        <v>185</v>
      </c>
      <c r="N207" s="55">
        <f t="shared" si="44"/>
        <v>0.37007299270072991</v>
      </c>
      <c r="O207" s="56">
        <f t="shared" si="45"/>
        <v>0.58082199999999995</v>
      </c>
      <c r="V207" s="54">
        <f t="shared" si="46"/>
        <v>158</v>
      </c>
      <c r="W207" s="52">
        <f t="shared" si="47"/>
        <v>685</v>
      </c>
      <c r="X207" s="52">
        <f t="shared" si="48"/>
        <v>89.5</v>
      </c>
      <c r="Y207" s="55">
        <f t="shared" si="49"/>
        <v>-432.77735658327015</v>
      </c>
      <c r="Z207" s="55">
        <f t="shared" si="50"/>
        <v>412.87041950972957</v>
      </c>
      <c r="AA207" s="55">
        <f t="shared" si="51"/>
        <v>412.87041950972957</v>
      </c>
      <c r="AB207" s="52">
        <f t="shared" si="52"/>
        <v>0.47207360512369279</v>
      </c>
      <c r="AC207" s="52">
        <f t="shared" si="53"/>
        <v>0.47700094890510958</v>
      </c>
      <c r="AD207" s="52">
        <f t="shared" si="54"/>
        <v>196.93958188099168</v>
      </c>
      <c r="AE207" s="62">
        <f t="shared" si="55"/>
        <v>137.85770731669416</v>
      </c>
    </row>
    <row r="208" spans="1:31" x14ac:dyDescent="0.3">
      <c r="A208" t="s">
        <v>319</v>
      </c>
      <c r="B208" t="s">
        <v>317</v>
      </c>
      <c r="C208" t="s">
        <v>70</v>
      </c>
      <c r="D208">
        <v>2</v>
      </c>
      <c r="E208" s="52">
        <v>4000</v>
      </c>
      <c r="F208" s="53">
        <v>1.9178000000000001E-2</v>
      </c>
      <c r="G208" s="54">
        <v>920.54399999999998</v>
      </c>
      <c r="H208" s="52">
        <v>739</v>
      </c>
      <c r="I208" s="53">
        <v>1.9178000000000001E-2</v>
      </c>
      <c r="J208" s="52">
        <v>306</v>
      </c>
      <c r="K208" s="52">
        <v>781</v>
      </c>
      <c r="L208" s="52">
        <f t="shared" si="42"/>
        <v>475</v>
      </c>
      <c r="M208" s="52">
        <f t="shared" si="43"/>
        <v>433</v>
      </c>
      <c r="N208" s="55">
        <f t="shared" si="44"/>
        <v>0.82926315789473692</v>
      </c>
      <c r="O208" s="56">
        <f t="shared" si="45"/>
        <v>1.9178000000000001E-2</v>
      </c>
      <c r="V208" s="54">
        <f t="shared" si="46"/>
        <v>306</v>
      </c>
      <c r="W208" s="52">
        <f t="shared" si="47"/>
        <v>593.75</v>
      </c>
      <c r="X208" s="52">
        <f t="shared" si="48"/>
        <v>246.625</v>
      </c>
      <c r="Y208" s="55">
        <f t="shared" si="49"/>
        <v>-375.12635835228707</v>
      </c>
      <c r="Z208" s="55">
        <f t="shared" si="50"/>
        <v>442.3949804144554</v>
      </c>
      <c r="AA208" s="55">
        <f t="shared" si="51"/>
        <v>442.3949804144554</v>
      </c>
      <c r="AB208" s="52">
        <f t="shared" si="52"/>
        <v>0.32971786175066176</v>
      </c>
      <c r="AC208" s="52">
        <f t="shared" si="53"/>
        <v>0.58966128421052633</v>
      </c>
      <c r="AD208" s="52">
        <f t="shared" si="54"/>
        <v>260.86319227947843</v>
      </c>
      <c r="AE208" s="62">
        <f t="shared" si="55"/>
        <v>182.60423459563489</v>
      </c>
    </row>
    <row r="209" spans="1:31" x14ac:dyDescent="0.3">
      <c r="A209" t="s">
        <v>320</v>
      </c>
      <c r="B209" t="s">
        <v>317</v>
      </c>
      <c r="C209" t="s">
        <v>61</v>
      </c>
      <c r="D209">
        <v>1</v>
      </c>
      <c r="E209" s="52">
        <v>2295</v>
      </c>
      <c r="F209" s="53">
        <v>0.46849299999999999</v>
      </c>
      <c r="G209" s="54">
        <v>12902.29722</v>
      </c>
      <c r="H209" s="52">
        <v>270</v>
      </c>
      <c r="I209" s="53">
        <v>0.46849299999999999</v>
      </c>
      <c r="J209" s="52">
        <v>100</v>
      </c>
      <c r="K209" s="52">
        <v>469</v>
      </c>
      <c r="L209" s="52">
        <f t="shared" si="42"/>
        <v>369</v>
      </c>
      <c r="M209" s="52">
        <f t="shared" si="43"/>
        <v>170</v>
      </c>
      <c r="N209" s="55">
        <f t="shared" si="44"/>
        <v>0.46856368563685635</v>
      </c>
      <c r="O209" s="56">
        <f t="shared" si="45"/>
        <v>0.46849299999999999</v>
      </c>
      <c r="V209" s="54">
        <f t="shared" si="46"/>
        <v>100</v>
      </c>
      <c r="W209" s="52">
        <f t="shared" si="47"/>
        <v>461.25</v>
      </c>
      <c r="X209" s="52">
        <f t="shared" si="48"/>
        <v>53.875</v>
      </c>
      <c r="Y209" s="55">
        <f t="shared" si="49"/>
        <v>-291.41394996209249</v>
      </c>
      <c r="Z209" s="55">
        <f t="shared" si="50"/>
        <v>274.81420583775588</v>
      </c>
      <c r="AA209" s="55">
        <f t="shared" si="51"/>
        <v>274.81420583775588</v>
      </c>
      <c r="AB209" s="52">
        <f t="shared" si="52"/>
        <v>0.47900098826613741</v>
      </c>
      <c r="AC209" s="52">
        <f t="shared" si="53"/>
        <v>0.47151861788617888</v>
      </c>
      <c r="AD209" s="52">
        <f t="shared" si="54"/>
        <v>129.58001451210652</v>
      </c>
      <c r="AE209" s="62">
        <f t="shared" si="55"/>
        <v>90.706010158474555</v>
      </c>
    </row>
    <row r="210" spans="1:31" x14ac:dyDescent="0.3">
      <c r="A210" t="s">
        <v>321</v>
      </c>
      <c r="B210" t="s">
        <v>322</v>
      </c>
      <c r="C210" t="s">
        <v>61</v>
      </c>
      <c r="D210">
        <v>2</v>
      </c>
      <c r="E210" s="52">
        <v>3000</v>
      </c>
      <c r="F210" s="53">
        <v>0.34246599999999999</v>
      </c>
      <c r="G210" s="54">
        <v>12328.776</v>
      </c>
      <c r="H210" s="52">
        <v>424</v>
      </c>
      <c r="I210" s="53">
        <v>0.34246599999999999</v>
      </c>
      <c r="J210" s="52">
        <v>270</v>
      </c>
      <c r="K210" s="52">
        <v>543</v>
      </c>
      <c r="L210" s="52">
        <f t="shared" si="42"/>
        <v>273</v>
      </c>
      <c r="M210" s="52">
        <f t="shared" si="43"/>
        <v>154</v>
      </c>
      <c r="N210" s="55">
        <f t="shared" si="44"/>
        <v>0.55128205128205132</v>
      </c>
      <c r="O210" s="56">
        <f t="shared" si="45"/>
        <v>0.34246599999999999</v>
      </c>
      <c r="V210" s="54">
        <f t="shared" si="46"/>
        <v>270</v>
      </c>
      <c r="W210" s="52">
        <f t="shared" si="47"/>
        <v>341.25</v>
      </c>
      <c r="X210" s="52">
        <f t="shared" si="48"/>
        <v>235.875</v>
      </c>
      <c r="Y210" s="55">
        <f t="shared" si="49"/>
        <v>-215.5989385898408</v>
      </c>
      <c r="Z210" s="55">
        <f t="shared" si="50"/>
        <v>301.32595716451863</v>
      </c>
      <c r="AA210" s="55">
        <f t="shared" si="51"/>
        <v>301.32595716451863</v>
      </c>
      <c r="AB210" s="52">
        <f t="shared" si="52"/>
        <v>0.19179767667258205</v>
      </c>
      <c r="AC210" s="52">
        <f t="shared" si="53"/>
        <v>0.69881131868131863</v>
      </c>
      <c r="AD210" s="52">
        <f t="shared" si="54"/>
        <v>210.56998947904779</v>
      </c>
      <c r="AE210" s="62">
        <f t="shared" si="55"/>
        <v>147.39899263533346</v>
      </c>
    </row>
    <row r="211" spans="1:31" x14ac:dyDescent="0.3">
      <c r="A211" t="s">
        <v>323</v>
      </c>
      <c r="B211" t="s">
        <v>322</v>
      </c>
      <c r="C211" t="s">
        <v>70</v>
      </c>
      <c r="D211">
        <v>1</v>
      </c>
      <c r="E211" s="52">
        <v>3300</v>
      </c>
      <c r="F211" s="53">
        <v>0.271233</v>
      </c>
      <c r="G211" s="54">
        <v>10740.826800000001</v>
      </c>
      <c r="H211" s="52">
        <v>980</v>
      </c>
      <c r="I211" s="53">
        <v>0.271233</v>
      </c>
      <c r="J211" s="52">
        <v>283</v>
      </c>
      <c r="K211" s="52">
        <v>1261</v>
      </c>
      <c r="L211" s="52">
        <f t="shared" si="42"/>
        <v>978</v>
      </c>
      <c r="M211" s="52">
        <f t="shared" si="43"/>
        <v>697</v>
      </c>
      <c r="N211" s="55">
        <f t="shared" si="44"/>
        <v>0.67014314928425356</v>
      </c>
      <c r="O211" s="56">
        <f t="shared" si="45"/>
        <v>0.271233</v>
      </c>
      <c r="V211" s="54">
        <f t="shared" si="46"/>
        <v>283</v>
      </c>
      <c r="W211" s="52">
        <f t="shared" si="47"/>
        <v>1222.5</v>
      </c>
      <c r="X211" s="52">
        <f t="shared" si="48"/>
        <v>160.75</v>
      </c>
      <c r="Y211" s="55">
        <f t="shared" si="49"/>
        <v>-772.3654283548143</v>
      </c>
      <c r="Z211" s="55">
        <f t="shared" si="50"/>
        <v>737.34903335860508</v>
      </c>
      <c r="AA211" s="55">
        <f t="shared" si="51"/>
        <v>737.34903335860508</v>
      </c>
      <c r="AB211" s="52">
        <f t="shared" si="52"/>
        <v>0.47165565100908391</v>
      </c>
      <c r="AC211" s="52">
        <f t="shared" si="53"/>
        <v>0.47733171779141104</v>
      </c>
      <c r="AD211" s="52">
        <f t="shared" si="54"/>
        <v>351.96008070489938</v>
      </c>
      <c r="AE211" s="62">
        <f t="shared" si="55"/>
        <v>246.37205649342954</v>
      </c>
    </row>
    <row r="212" spans="1:31" x14ac:dyDescent="0.3">
      <c r="A212" t="s">
        <v>324</v>
      </c>
      <c r="B212" t="s">
        <v>322</v>
      </c>
      <c r="C212" t="s">
        <v>70</v>
      </c>
      <c r="D212">
        <v>2</v>
      </c>
      <c r="E212" s="52">
        <v>4500</v>
      </c>
      <c r="F212" s="53">
        <v>0.43013699999999999</v>
      </c>
      <c r="G212" s="54">
        <v>23227.398000000001</v>
      </c>
      <c r="H212" s="52">
        <v>994</v>
      </c>
      <c r="I212" s="53">
        <v>0.43013699999999999</v>
      </c>
      <c r="J212" s="52">
        <v>530</v>
      </c>
      <c r="K212" s="52">
        <v>1354</v>
      </c>
      <c r="L212" s="52">
        <f t="shared" si="42"/>
        <v>824</v>
      </c>
      <c r="M212" s="52">
        <f t="shared" si="43"/>
        <v>464</v>
      </c>
      <c r="N212" s="55">
        <f t="shared" si="44"/>
        <v>0.55048543689320395</v>
      </c>
      <c r="O212" s="56">
        <f t="shared" si="45"/>
        <v>0.43013699999999999</v>
      </c>
      <c r="V212" s="54">
        <f t="shared" si="46"/>
        <v>530</v>
      </c>
      <c r="W212" s="52">
        <f t="shared" si="47"/>
        <v>1030</v>
      </c>
      <c r="X212" s="52">
        <f t="shared" si="48"/>
        <v>427</v>
      </c>
      <c r="Y212" s="55">
        <f t="shared" si="49"/>
        <v>-650.74551427849383</v>
      </c>
      <c r="Z212" s="55">
        <f t="shared" si="50"/>
        <v>767.0241344452869</v>
      </c>
      <c r="AA212" s="55">
        <f t="shared" si="51"/>
        <v>767.0241344452869</v>
      </c>
      <c r="AB212" s="52">
        <f t="shared" si="52"/>
        <v>0.3301205188789193</v>
      </c>
      <c r="AC212" s="52">
        <f t="shared" si="53"/>
        <v>0.58934262135922322</v>
      </c>
      <c r="AD212" s="52">
        <f t="shared" si="54"/>
        <v>452.04001403977463</v>
      </c>
      <c r="AE212" s="62">
        <f t="shared" si="55"/>
        <v>316.42800982784223</v>
      </c>
    </row>
    <row r="213" spans="1:31" x14ac:dyDescent="0.3">
      <c r="A213" t="s">
        <v>325</v>
      </c>
      <c r="B213" t="s">
        <v>322</v>
      </c>
      <c r="C213" t="s">
        <v>61</v>
      </c>
      <c r="D213">
        <v>1</v>
      </c>
      <c r="E213" s="52">
        <v>2700</v>
      </c>
      <c r="F213" s="53">
        <v>0.60547899999999999</v>
      </c>
      <c r="G213" s="54">
        <v>19617.5196</v>
      </c>
      <c r="H213" s="52">
        <v>284</v>
      </c>
      <c r="I213" s="53">
        <v>0.60547899999999999</v>
      </c>
      <c r="J213" s="52">
        <v>103</v>
      </c>
      <c r="K213" s="52">
        <v>483</v>
      </c>
      <c r="L213" s="52">
        <f t="shared" si="42"/>
        <v>380</v>
      </c>
      <c r="M213" s="52">
        <f t="shared" si="43"/>
        <v>181</v>
      </c>
      <c r="N213" s="55">
        <f t="shared" si="44"/>
        <v>0.4810526315789474</v>
      </c>
      <c r="O213" s="56">
        <f t="shared" si="45"/>
        <v>0.60547899999999999</v>
      </c>
      <c r="V213" s="54">
        <f t="shared" si="46"/>
        <v>103</v>
      </c>
      <c r="W213" s="52">
        <f t="shared" si="47"/>
        <v>475</v>
      </c>
      <c r="X213" s="52">
        <f t="shared" si="48"/>
        <v>55.5</v>
      </c>
      <c r="Y213" s="55">
        <f t="shared" si="49"/>
        <v>-300.10108668182966</v>
      </c>
      <c r="Z213" s="55">
        <f t="shared" si="50"/>
        <v>283.01598433156431</v>
      </c>
      <c r="AA213" s="55">
        <f t="shared" si="51"/>
        <v>283.01598433156431</v>
      </c>
      <c r="AB213" s="52">
        <f t="shared" si="52"/>
        <v>0.47898101964539858</v>
      </c>
      <c r="AC213" s="52">
        <f t="shared" si="53"/>
        <v>0.4715344210526316</v>
      </c>
      <c r="AD213" s="52">
        <f t="shared" si="54"/>
        <v>133.45177832042484</v>
      </c>
      <c r="AE213" s="62">
        <f t="shared" si="55"/>
        <v>93.41624482429738</v>
      </c>
    </row>
    <row r="214" spans="1:31" x14ac:dyDescent="0.3">
      <c r="A214" t="s">
        <v>326</v>
      </c>
      <c r="B214" t="s">
        <v>327</v>
      </c>
      <c r="C214" t="s">
        <v>61</v>
      </c>
      <c r="D214">
        <v>1</v>
      </c>
      <c r="E214" s="52">
        <v>2700</v>
      </c>
      <c r="F214" s="53">
        <v>0.56712300000000004</v>
      </c>
      <c r="G214" s="54">
        <v>18374.785200000002</v>
      </c>
      <c r="H214" s="52">
        <v>236</v>
      </c>
      <c r="I214" s="53">
        <v>0.56712300000000004</v>
      </c>
      <c r="J214" s="52">
        <v>110</v>
      </c>
      <c r="K214" s="52">
        <v>515</v>
      </c>
      <c r="L214" s="52">
        <f t="shared" si="42"/>
        <v>405</v>
      </c>
      <c r="M214" s="52">
        <f t="shared" si="43"/>
        <v>126</v>
      </c>
      <c r="N214" s="55">
        <f t="shared" si="44"/>
        <v>0.34888888888888892</v>
      </c>
      <c r="O214" s="56">
        <f t="shared" si="45"/>
        <v>0.56712300000000004</v>
      </c>
      <c r="V214" s="54">
        <f t="shared" si="46"/>
        <v>110</v>
      </c>
      <c r="W214" s="52">
        <f t="shared" si="47"/>
        <v>506.25</v>
      </c>
      <c r="X214" s="52">
        <f t="shared" si="48"/>
        <v>59.375</v>
      </c>
      <c r="Y214" s="55">
        <f t="shared" si="49"/>
        <v>-319.8445792266869</v>
      </c>
      <c r="Z214" s="55">
        <f t="shared" si="50"/>
        <v>301.74729909021988</v>
      </c>
      <c r="AA214" s="55">
        <f t="shared" si="51"/>
        <v>301.74729909021988</v>
      </c>
      <c r="AB214" s="52">
        <f t="shared" si="52"/>
        <v>0.47876009696833555</v>
      </c>
      <c r="AC214" s="52">
        <f t="shared" si="53"/>
        <v>0.47170925925925927</v>
      </c>
      <c r="AD214" s="52">
        <f t="shared" si="54"/>
        <v>142.33699493732979</v>
      </c>
      <c r="AE214" s="62">
        <f t="shared" si="55"/>
        <v>99.635896456130851</v>
      </c>
    </row>
    <row r="215" spans="1:31" x14ac:dyDescent="0.3">
      <c r="A215" t="s">
        <v>328</v>
      </c>
      <c r="B215" t="s">
        <v>301</v>
      </c>
      <c r="C215" t="s">
        <v>70</v>
      </c>
      <c r="D215">
        <v>2</v>
      </c>
      <c r="E215" s="52">
        <v>1100</v>
      </c>
      <c r="F215" s="53">
        <v>0.61917800000000001</v>
      </c>
      <c r="G215" s="54">
        <v>8173.1495999999997</v>
      </c>
      <c r="H215" s="52">
        <v>188</v>
      </c>
      <c r="I215" s="53">
        <v>0.61917800000000001</v>
      </c>
      <c r="J215" s="52">
        <v>136</v>
      </c>
      <c r="K215" s="52">
        <v>335</v>
      </c>
      <c r="L215" s="52">
        <f t="shared" si="42"/>
        <v>199</v>
      </c>
      <c r="M215" s="52">
        <f t="shared" si="43"/>
        <v>52</v>
      </c>
      <c r="N215" s="55">
        <f t="shared" si="44"/>
        <v>0.30904522613065327</v>
      </c>
      <c r="O215" s="56">
        <f t="shared" si="45"/>
        <v>0.61917800000000001</v>
      </c>
      <c r="V215" s="54">
        <f t="shared" si="46"/>
        <v>136</v>
      </c>
      <c r="W215" s="52">
        <f t="shared" si="47"/>
        <v>248.75</v>
      </c>
      <c r="X215" s="52">
        <f t="shared" si="48"/>
        <v>111.125</v>
      </c>
      <c r="Y215" s="55">
        <f t="shared" si="49"/>
        <v>-157.15820065706345</v>
      </c>
      <c r="Z215" s="55">
        <f t="shared" si="50"/>
        <v>189.24126547889819</v>
      </c>
      <c r="AA215" s="55">
        <f t="shared" si="51"/>
        <v>189.24126547889819</v>
      </c>
      <c r="AB215" s="52">
        <f t="shared" si="52"/>
        <v>0.31403523810612338</v>
      </c>
      <c r="AC215" s="52">
        <f t="shared" si="53"/>
        <v>0.60207251256281402</v>
      </c>
      <c r="AD215" s="52">
        <f t="shared" si="54"/>
        <v>113.93696418744675</v>
      </c>
      <c r="AE215" s="62">
        <f t="shared" si="55"/>
        <v>79.755874931212716</v>
      </c>
    </row>
    <row r="216" spans="1:31" x14ac:dyDescent="0.3">
      <c r="A216" t="s">
        <v>329</v>
      </c>
      <c r="B216" t="s">
        <v>327</v>
      </c>
      <c r="C216" t="s">
        <v>61</v>
      </c>
      <c r="D216">
        <v>2</v>
      </c>
      <c r="E216" s="52">
        <v>3000</v>
      </c>
      <c r="F216" s="53">
        <v>0.70411000000000001</v>
      </c>
      <c r="G216" s="54">
        <v>25347.96</v>
      </c>
      <c r="H216" s="52">
        <v>329</v>
      </c>
      <c r="I216" s="53">
        <v>0.70411000000000001</v>
      </c>
      <c r="J216" s="52">
        <v>270</v>
      </c>
      <c r="K216" s="52">
        <v>544</v>
      </c>
      <c r="L216" s="52">
        <f t="shared" si="42"/>
        <v>274</v>
      </c>
      <c r="M216" s="52">
        <f t="shared" si="43"/>
        <v>59</v>
      </c>
      <c r="N216" s="55">
        <f t="shared" si="44"/>
        <v>0.27226277372262775</v>
      </c>
      <c r="O216" s="56">
        <f t="shared" si="45"/>
        <v>0.70411000000000001</v>
      </c>
      <c r="V216" s="54">
        <f t="shared" si="46"/>
        <v>270</v>
      </c>
      <c r="W216" s="52">
        <f t="shared" si="47"/>
        <v>342.5</v>
      </c>
      <c r="X216" s="52">
        <f t="shared" si="48"/>
        <v>235.75</v>
      </c>
      <c r="Y216" s="55">
        <f t="shared" si="49"/>
        <v>-216.38867829163507</v>
      </c>
      <c r="Z216" s="55">
        <f t="shared" si="50"/>
        <v>301.93520975486479</v>
      </c>
      <c r="AA216" s="55">
        <f t="shared" si="51"/>
        <v>301.93520975486479</v>
      </c>
      <c r="AB216" s="52">
        <f t="shared" si="52"/>
        <v>0.19324148833537164</v>
      </c>
      <c r="AC216" s="52">
        <f t="shared" si="53"/>
        <v>0.69766868613138688</v>
      </c>
      <c r="AD216" s="52">
        <f t="shared" si="54"/>
        <v>210.65074108648122</v>
      </c>
      <c r="AE216" s="62">
        <f t="shared" si="55"/>
        <v>147.45551876053685</v>
      </c>
    </row>
    <row r="217" spans="1:31" x14ac:dyDescent="0.3">
      <c r="A217" t="s">
        <v>330</v>
      </c>
      <c r="B217" t="s">
        <v>327</v>
      </c>
      <c r="C217" t="s">
        <v>70</v>
      </c>
      <c r="D217">
        <v>1</v>
      </c>
      <c r="E217" s="52">
        <v>4500</v>
      </c>
      <c r="F217" s="53">
        <v>0.44383600000000001</v>
      </c>
      <c r="G217" s="54">
        <v>23967.144</v>
      </c>
      <c r="H217" s="52">
        <v>549</v>
      </c>
      <c r="I217" s="53">
        <v>0.44383600000000001</v>
      </c>
      <c r="J217" s="52">
        <v>231</v>
      </c>
      <c r="K217" s="52">
        <v>1027</v>
      </c>
      <c r="L217" s="52">
        <f t="shared" si="42"/>
        <v>796</v>
      </c>
      <c r="M217" s="52">
        <f t="shared" si="43"/>
        <v>318</v>
      </c>
      <c r="N217" s="55">
        <f t="shared" si="44"/>
        <v>0.41959798994974873</v>
      </c>
      <c r="O217" s="56">
        <f t="shared" si="45"/>
        <v>0.44383600000000001</v>
      </c>
      <c r="V217" s="54">
        <f t="shared" si="46"/>
        <v>231</v>
      </c>
      <c r="W217" s="52">
        <f t="shared" si="47"/>
        <v>995</v>
      </c>
      <c r="X217" s="52">
        <f t="shared" si="48"/>
        <v>131.5</v>
      </c>
      <c r="Y217" s="55">
        <f t="shared" si="49"/>
        <v>-628.63280262825378</v>
      </c>
      <c r="Z217" s="55">
        <f t="shared" si="50"/>
        <v>600.46506191559274</v>
      </c>
      <c r="AA217" s="55">
        <f t="shared" si="51"/>
        <v>600.46506191559274</v>
      </c>
      <c r="AB217" s="52">
        <f t="shared" si="52"/>
        <v>0.47132167026692739</v>
      </c>
      <c r="AC217" s="52">
        <f t="shared" si="53"/>
        <v>0.47759603015075369</v>
      </c>
      <c r="AD217" s="52">
        <f t="shared" si="54"/>
        <v>286.77972981511363</v>
      </c>
      <c r="AE217" s="62">
        <f t="shared" si="55"/>
        <v>200.74581087057953</v>
      </c>
    </row>
    <row r="218" spans="1:31" x14ac:dyDescent="0.3">
      <c r="A218" t="s">
        <v>331</v>
      </c>
      <c r="B218" t="s">
        <v>327</v>
      </c>
      <c r="C218" t="s">
        <v>70</v>
      </c>
      <c r="D218">
        <v>2</v>
      </c>
      <c r="E218" s="52">
        <v>4900</v>
      </c>
      <c r="F218" s="53">
        <v>0.446575</v>
      </c>
      <c r="G218" s="54">
        <v>26258.61</v>
      </c>
      <c r="H218" s="52">
        <v>652</v>
      </c>
      <c r="I218" s="53">
        <v>0.446575</v>
      </c>
      <c r="J218" s="52">
        <v>379</v>
      </c>
      <c r="K218" s="52">
        <v>969</v>
      </c>
      <c r="L218" s="52">
        <f t="shared" si="42"/>
        <v>590</v>
      </c>
      <c r="M218" s="52">
        <f t="shared" si="43"/>
        <v>273</v>
      </c>
      <c r="N218" s="55">
        <f t="shared" si="44"/>
        <v>0.47016949152542376</v>
      </c>
      <c r="O218" s="56">
        <f t="shared" si="45"/>
        <v>0.446575</v>
      </c>
      <c r="V218" s="54">
        <f t="shared" si="46"/>
        <v>379</v>
      </c>
      <c r="W218" s="52">
        <f t="shared" si="47"/>
        <v>737.5</v>
      </c>
      <c r="X218" s="52">
        <f t="shared" si="48"/>
        <v>305.25</v>
      </c>
      <c r="Y218" s="55">
        <f t="shared" si="49"/>
        <v>-465.94642405863027</v>
      </c>
      <c r="Z218" s="55">
        <f t="shared" si="50"/>
        <v>548.95902830427099</v>
      </c>
      <c r="AA218" s="55">
        <f t="shared" si="51"/>
        <v>548.95902830427099</v>
      </c>
      <c r="AB218" s="52">
        <f t="shared" si="52"/>
        <v>0.33045291973460472</v>
      </c>
      <c r="AC218" s="52">
        <f t="shared" si="53"/>
        <v>0.58907955932203393</v>
      </c>
      <c r="AD218" s="52">
        <f t="shared" si="54"/>
        <v>323.38054247933189</v>
      </c>
      <c r="AE218" s="62">
        <f t="shared" si="55"/>
        <v>226.36637973553232</v>
      </c>
    </row>
    <row r="219" spans="1:31" x14ac:dyDescent="0.3">
      <c r="A219" t="s">
        <v>332</v>
      </c>
      <c r="B219" t="s">
        <v>333</v>
      </c>
      <c r="C219" t="s">
        <v>61</v>
      </c>
      <c r="D219">
        <v>2</v>
      </c>
      <c r="E219" s="52">
        <v>3300</v>
      </c>
      <c r="F219" s="53">
        <v>0.42191800000000002</v>
      </c>
      <c r="G219" s="54">
        <v>16707.952799999999</v>
      </c>
      <c r="H219" s="52">
        <v>378</v>
      </c>
      <c r="I219" s="53">
        <v>0.42191800000000002</v>
      </c>
      <c r="J219" s="52">
        <v>264</v>
      </c>
      <c r="K219" s="52">
        <v>532</v>
      </c>
      <c r="L219" s="52">
        <f t="shared" si="42"/>
        <v>268</v>
      </c>
      <c r="M219" s="52">
        <f t="shared" si="43"/>
        <v>114</v>
      </c>
      <c r="N219" s="55">
        <f t="shared" si="44"/>
        <v>0.44029850746268662</v>
      </c>
      <c r="O219" s="56">
        <f t="shared" si="45"/>
        <v>0.42191800000000002</v>
      </c>
      <c r="V219" s="54">
        <f t="shared" si="46"/>
        <v>264</v>
      </c>
      <c r="W219" s="52">
        <f t="shared" si="47"/>
        <v>335</v>
      </c>
      <c r="X219" s="52">
        <f t="shared" si="48"/>
        <v>230.5</v>
      </c>
      <c r="Y219" s="55">
        <f t="shared" si="49"/>
        <v>-211.65024008086934</v>
      </c>
      <c r="Z219" s="55">
        <f t="shared" si="50"/>
        <v>295.27969421278743</v>
      </c>
      <c r="AA219" s="55">
        <f t="shared" si="51"/>
        <v>295.27969421278743</v>
      </c>
      <c r="AB219" s="52">
        <f t="shared" si="52"/>
        <v>0.19337222153070877</v>
      </c>
      <c r="AC219" s="52">
        <f t="shared" si="53"/>
        <v>0.69756522388059716</v>
      </c>
      <c r="AD219" s="52">
        <f t="shared" si="54"/>
        <v>205.97684600093734</v>
      </c>
      <c r="AE219" s="62">
        <f t="shared" si="55"/>
        <v>144.18379220065614</v>
      </c>
    </row>
    <row r="220" spans="1:31" x14ac:dyDescent="0.3">
      <c r="A220" t="s">
        <v>334</v>
      </c>
      <c r="B220" t="s">
        <v>333</v>
      </c>
      <c r="C220" t="s">
        <v>70</v>
      </c>
      <c r="D220">
        <v>1</v>
      </c>
      <c r="E220" s="52">
        <v>4500</v>
      </c>
      <c r="F220" s="53">
        <v>0.591781</v>
      </c>
      <c r="G220" s="54">
        <v>31956.173999999999</v>
      </c>
      <c r="H220" s="52">
        <v>255</v>
      </c>
      <c r="I220" s="53">
        <v>0.591781</v>
      </c>
      <c r="J220" s="52">
        <v>151</v>
      </c>
      <c r="K220" s="52">
        <v>673</v>
      </c>
      <c r="L220" s="52">
        <f t="shared" si="42"/>
        <v>522</v>
      </c>
      <c r="M220" s="52">
        <f t="shared" si="43"/>
        <v>104</v>
      </c>
      <c r="N220" s="55">
        <f t="shared" si="44"/>
        <v>0.25938697318007664</v>
      </c>
      <c r="O220" s="56">
        <f t="shared" si="45"/>
        <v>0.591781</v>
      </c>
      <c r="V220" s="54">
        <f t="shared" si="46"/>
        <v>151</v>
      </c>
      <c r="W220" s="52">
        <f t="shared" si="47"/>
        <v>652.5</v>
      </c>
      <c r="X220" s="52">
        <f t="shared" si="48"/>
        <v>85.75</v>
      </c>
      <c r="Y220" s="55">
        <f t="shared" si="49"/>
        <v>-412.24412433661865</v>
      </c>
      <c r="Z220" s="55">
        <f t="shared" si="50"/>
        <v>393.52985216072784</v>
      </c>
      <c r="AA220" s="55">
        <f t="shared" si="51"/>
        <v>393.52985216072784</v>
      </c>
      <c r="AB220" s="52">
        <f t="shared" si="52"/>
        <v>0.47169326001644113</v>
      </c>
      <c r="AC220" s="52">
        <f t="shared" si="53"/>
        <v>0.47730195402298853</v>
      </c>
      <c r="AD220" s="52">
        <f t="shared" si="54"/>
        <v>187.8325674026932</v>
      </c>
      <c r="AE220" s="62">
        <f t="shared" si="55"/>
        <v>131.48279718188525</v>
      </c>
    </row>
    <row r="221" spans="1:31" x14ac:dyDescent="0.3">
      <c r="A221" t="s">
        <v>335</v>
      </c>
      <c r="B221" t="s">
        <v>333</v>
      </c>
      <c r="C221" t="s">
        <v>70</v>
      </c>
      <c r="D221">
        <v>2</v>
      </c>
      <c r="E221" s="52">
        <v>4200</v>
      </c>
      <c r="F221" s="53">
        <v>0.57260299999999997</v>
      </c>
      <c r="G221" s="54">
        <v>28859.191199999997</v>
      </c>
      <c r="H221" s="52">
        <v>441</v>
      </c>
      <c r="I221" s="53">
        <v>0.57260299999999997</v>
      </c>
      <c r="J221" s="52">
        <v>278</v>
      </c>
      <c r="K221" s="52">
        <v>711</v>
      </c>
      <c r="L221" s="52">
        <f t="shared" si="42"/>
        <v>433</v>
      </c>
      <c r="M221" s="52">
        <f t="shared" si="43"/>
        <v>163</v>
      </c>
      <c r="N221" s="55">
        <f t="shared" si="44"/>
        <v>0.40115473441108551</v>
      </c>
      <c r="O221" s="56">
        <f t="shared" si="45"/>
        <v>0.57260299999999997</v>
      </c>
      <c r="V221" s="54">
        <f t="shared" si="46"/>
        <v>278</v>
      </c>
      <c r="W221" s="52">
        <f t="shared" si="47"/>
        <v>541.25</v>
      </c>
      <c r="X221" s="52">
        <f t="shared" si="48"/>
        <v>223.875</v>
      </c>
      <c r="Y221" s="55">
        <f t="shared" si="49"/>
        <v>-341.95729087692695</v>
      </c>
      <c r="Z221" s="55">
        <f t="shared" si="50"/>
        <v>402.80637161991405</v>
      </c>
      <c r="AA221" s="55">
        <f t="shared" si="51"/>
        <v>402.80637161991405</v>
      </c>
      <c r="AB221" s="52">
        <f t="shared" si="52"/>
        <v>0.33058913925157329</v>
      </c>
      <c r="AC221" s="52">
        <f t="shared" si="53"/>
        <v>0.58897175519630496</v>
      </c>
      <c r="AD221" s="52">
        <f t="shared" si="54"/>
        <v>237.24157569723585</v>
      </c>
      <c r="AE221" s="62">
        <f t="shared" si="55"/>
        <v>166.06910298806508</v>
      </c>
    </row>
    <row r="222" spans="1:31" x14ac:dyDescent="0.3">
      <c r="A222" t="s">
        <v>336</v>
      </c>
      <c r="B222" t="s">
        <v>333</v>
      </c>
      <c r="C222" t="s">
        <v>61</v>
      </c>
      <c r="D222">
        <v>1</v>
      </c>
      <c r="E222" s="52">
        <v>2500</v>
      </c>
      <c r="F222" s="53">
        <v>0.42465800000000004</v>
      </c>
      <c r="G222" s="54">
        <v>12739.740000000002</v>
      </c>
      <c r="H222" s="52">
        <v>356</v>
      </c>
      <c r="I222" s="53">
        <v>0.42465800000000004</v>
      </c>
      <c r="J222" s="52">
        <v>98</v>
      </c>
      <c r="K222" s="52">
        <v>460</v>
      </c>
      <c r="L222" s="52">
        <f t="shared" si="42"/>
        <v>362</v>
      </c>
      <c r="M222" s="52">
        <f t="shared" si="43"/>
        <v>258</v>
      </c>
      <c r="N222" s="55">
        <f t="shared" si="44"/>
        <v>0.67016574585635358</v>
      </c>
      <c r="O222" s="56">
        <f t="shared" si="45"/>
        <v>0.42465800000000004</v>
      </c>
      <c r="V222" s="54">
        <f t="shared" si="46"/>
        <v>98</v>
      </c>
      <c r="W222" s="52">
        <f t="shared" si="47"/>
        <v>452.5</v>
      </c>
      <c r="X222" s="52">
        <f t="shared" si="48"/>
        <v>52.75</v>
      </c>
      <c r="Y222" s="55">
        <f t="shared" si="49"/>
        <v>-285.88577204953248</v>
      </c>
      <c r="Z222" s="55">
        <f t="shared" si="50"/>
        <v>269.54943770533231</v>
      </c>
      <c r="AA222" s="55">
        <f t="shared" si="51"/>
        <v>269.54943770533231</v>
      </c>
      <c r="AB222" s="52">
        <f t="shared" si="52"/>
        <v>0.47911477945929792</v>
      </c>
      <c r="AC222" s="52">
        <f t="shared" si="53"/>
        <v>0.47142856353591167</v>
      </c>
      <c r="AD222" s="52">
        <f t="shared" si="54"/>
        <v>127.07330421933752</v>
      </c>
      <c r="AE222" s="62">
        <f t="shared" si="55"/>
        <v>88.951312953536259</v>
      </c>
    </row>
    <row r="223" spans="1:31" x14ac:dyDescent="0.3">
      <c r="A223" t="s">
        <v>337</v>
      </c>
      <c r="B223" t="s">
        <v>338</v>
      </c>
      <c r="C223" t="s">
        <v>61</v>
      </c>
      <c r="D223">
        <v>1</v>
      </c>
      <c r="E223" s="52">
        <v>2500</v>
      </c>
      <c r="F223" s="53">
        <v>7.9451999999999995E-2</v>
      </c>
      <c r="G223" s="54">
        <v>2383.56</v>
      </c>
      <c r="H223" s="52">
        <v>437</v>
      </c>
      <c r="I223" s="53">
        <v>7.9451999999999995E-2</v>
      </c>
      <c r="J223" s="52">
        <v>108</v>
      </c>
      <c r="K223" s="52">
        <v>507</v>
      </c>
      <c r="L223" s="52">
        <f t="shared" si="42"/>
        <v>399</v>
      </c>
      <c r="M223" s="52">
        <f t="shared" si="43"/>
        <v>329</v>
      </c>
      <c r="N223" s="55">
        <f t="shared" si="44"/>
        <v>0.75964912280701746</v>
      </c>
      <c r="O223" s="56">
        <f t="shared" si="45"/>
        <v>7.9451999999999995E-2</v>
      </c>
      <c r="V223" s="54">
        <f t="shared" si="46"/>
        <v>108</v>
      </c>
      <c r="W223" s="52">
        <f t="shared" si="47"/>
        <v>498.75</v>
      </c>
      <c r="X223" s="52">
        <f t="shared" si="48"/>
        <v>58.125</v>
      </c>
      <c r="Y223" s="55">
        <f t="shared" si="49"/>
        <v>-315.10614101592114</v>
      </c>
      <c r="Z223" s="55">
        <f t="shared" si="50"/>
        <v>297.09178354814253</v>
      </c>
      <c r="AA223" s="55">
        <f t="shared" si="51"/>
        <v>297.09178354814253</v>
      </c>
      <c r="AB223" s="52">
        <f t="shared" si="52"/>
        <v>0.4791313955852482</v>
      </c>
      <c r="AC223" s="52">
        <f t="shared" si="53"/>
        <v>0.47141541353383459</v>
      </c>
      <c r="AD223" s="52">
        <f t="shared" si="54"/>
        <v>140.05364599885209</v>
      </c>
      <c r="AE223" s="62">
        <f t="shared" si="55"/>
        <v>98.037552199196455</v>
      </c>
    </row>
    <row r="224" spans="1:31" x14ac:dyDescent="0.3">
      <c r="A224" t="s">
        <v>339</v>
      </c>
      <c r="B224" t="s">
        <v>338</v>
      </c>
      <c r="C224" t="s">
        <v>61</v>
      </c>
      <c r="D224">
        <v>2</v>
      </c>
      <c r="E224" s="52">
        <v>3300</v>
      </c>
      <c r="F224" s="53">
        <v>0.31780799999999998</v>
      </c>
      <c r="G224" s="54">
        <v>12585.1968</v>
      </c>
      <c r="H224" s="52">
        <v>461</v>
      </c>
      <c r="I224" s="53">
        <v>0.31780799999999998</v>
      </c>
      <c r="J224" s="52">
        <v>270</v>
      </c>
      <c r="K224" s="52">
        <v>543</v>
      </c>
      <c r="L224" s="52">
        <f t="shared" si="42"/>
        <v>273</v>
      </c>
      <c r="M224" s="52">
        <f t="shared" si="43"/>
        <v>191</v>
      </c>
      <c r="N224" s="55">
        <f t="shared" si="44"/>
        <v>0.65970695970695969</v>
      </c>
      <c r="O224" s="56">
        <f t="shared" si="45"/>
        <v>0.31780799999999998</v>
      </c>
      <c r="V224" s="54">
        <f t="shared" si="46"/>
        <v>270</v>
      </c>
      <c r="W224" s="52">
        <f t="shared" si="47"/>
        <v>341.25</v>
      </c>
      <c r="X224" s="52">
        <f t="shared" si="48"/>
        <v>235.875</v>
      </c>
      <c r="Y224" s="55">
        <f t="shared" si="49"/>
        <v>-215.5989385898408</v>
      </c>
      <c r="Z224" s="55">
        <f t="shared" si="50"/>
        <v>301.32595716451863</v>
      </c>
      <c r="AA224" s="55">
        <f t="shared" si="51"/>
        <v>301.32595716451863</v>
      </c>
      <c r="AB224" s="52">
        <f t="shared" si="52"/>
        <v>0.19179767667258205</v>
      </c>
      <c r="AC224" s="52">
        <f t="shared" si="53"/>
        <v>0.69881131868131863</v>
      </c>
      <c r="AD224" s="52">
        <f t="shared" si="54"/>
        <v>210.56998947904779</v>
      </c>
      <c r="AE224" s="62">
        <f t="shared" si="55"/>
        <v>147.39899263533346</v>
      </c>
    </row>
    <row r="225" spans="1:31" x14ac:dyDescent="0.3">
      <c r="A225" t="s">
        <v>340</v>
      </c>
      <c r="B225" t="s">
        <v>338</v>
      </c>
      <c r="C225" t="s">
        <v>70</v>
      </c>
      <c r="D225">
        <v>1</v>
      </c>
      <c r="E225" s="52">
        <v>4500</v>
      </c>
      <c r="F225" s="53">
        <v>0.31232900000000002</v>
      </c>
      <c r="G225" s="54">
        <v>16865.766</v>
      </c>
      <c r="H225" s="52">
        <v>669</v>
      </c>
      <c r="I225" s="53">
        <v>0.31232900000000002</v>
      </c>
      <c r="J225" s="52">
        <v>186</v>
      </c>
      <c r="K225" s="52">
        <v>829</v>
      </c>
      <c r="L225" s="52">
        <f t="shared" si="42"/>
        <v>643</v>
      </c>
      <c r="M225" s="52">
        <f t="shared" si="43"/>
        <v>483</v>
      </c>
      <c r="N225" s="55">
        <f t="shared" si="44"/>
        <v>0.7009331259720063</v>
      </c>
      <c r="O225" s="56">
        <f t="shared" si="45"/>
        <v>0.31232900000000002</v>
      </c>
      <c r="V225" s="54">
        <f t="shared" si="46"/>
        <v>186</v>
      </c>
      <c r="W225" s="52">
        <f t="shared" si="47"/>
        <v>803.75</v>
      </c>
      <c r="X225" s="52">
        <f t="shared" si="48"/>
        <v>105.625</v>
      </c>
      <c r="Y225" s="55">
        <f t="shared" si="49"/>
        <v>-507.80262825372756</v>
      </c>
      <c r="Z225" s="55">
        <f t="shared" si="50"/>
        <v>484.74941559262066</v>
      </c>
      <c r="AA225" s="55">
        <f t="shared" si="51"/>
        <v>484.74941559262066</v>
      </c>
      <c r="AB225" s="52">
        <f t="shared" si="52"/>
        <v>0.47169445174820612</v>
      </c>
      <c r="AC225" s="52">
        <f t="shared" si="53"/>
        <v>0.4773010108864697</v>
      </c>
      <c r="AD225" s="52">
        <f t="shared" si="54"/>
        <v>231.37138608898326</v>
      </c>
      <c r="AE225" s="62">
        <f t="shared" si="55"/>
        <v>161.95997026228827</v>
      </c>
    </row>
    <row r="226" spans="1:31" x14ac:dyDescent="0.3">
      <c r="A226" t="s">
        <v>341</v>
      </c>
      <c r="B226" t="s">
        <v>301</v>
      </c>
      <c r="C226" t="s">
        <v>61</v>
      </c>
      <c r="D226">
        <v>1</v>
      </c>
      <c r="E226" s="52">
        <v>500</v>
      </c>
      <c r="F226" s="53">
        <v>0.39726</v>
      </c>
      <c r="G226" s="54">
        <v>2383.56</v>
      </c>
      <c r="H226" s="52">
        <v>121</v>
      </c>
      <c r="I226" s="53">
        <v>0.39726</v>
      </c>
      <c r="J226" s="52">
        <v>50</v>
      </c>
      <c r="K226" s="52">
        <v>174</v>
      </c>
      <c r="L226" s="52">
        <f t="shared" si="42"/>
        <v>124</v>
      </c>
      <c r="M226" s="52">
        <f t="shared" si="43"/>
        <v>71</v>
      </c>
      <c r="N226" s="55">
        <f t="shared" si="44"/>
        <v>0.5580645161290323</v>
      </c>
      <c r="O226" s="56">
        <f t="shared" si="45"/>
        <v>0.39726</v>
      </c>
      <c r="V226" s="54">
        <f t="shared" si="46"/>
        <v>50</v>
      </c>
      <c r="W226" s="52">
        <f t="shared" si="47"/>
        <v>155</v>
      </c>
      <c r="X226" s="52">
        <f t="shared" si="48"/>
        <v>34.5</v>
      </c>
      <c r="Y226" s="55">
        <f t="shared" si="49"/>
        <v>-97.92772302249179</v>
      </c>
      <c r="Z226" s="55">
        <f t="shared" si="50"/>
        <v>100.54732120293151</v>
      </c>
      <c r="AA226" s="55">
        <f t="shared" si="51"/>
        <v>100.54732120293151</v>
      </c>
      <c r="AB226" s="52">
        <f t="shared" si="52"/>
        <v>0.42611174969633236</v>
      </c>
      <c r="AC226" s="52">
        <f t="shared" si="53"/>
        <v>0.51337516129032257</v>
      </c>
      <c r="AD226" s="52">
        <f t="shared" si="54"/>
        <v>51.618497239864837</v>
      </c>
      <c r="AE226" s="62">
        <f t="shared" si="55"/>
        <v>36.132948067905382</v>
      </c>
    </row>
    <row r="227" spans="1:31" x14ac:dyDescent="0.3">
      <c r="A227" t="s">
        <v>342</v>
      </c>
      <c r="B227" t="s">
        <v>338</v>
      </c>
      <c r="C227" t="s">
        <v>70</v>
      </c>
      <c r="D227">
        <v>2</v>
      </c>
      <c r="E227" s="52">
        <v>4200</v>
      </c>
      <c r="F227" s="53">
        <v>0.61095900000000003</v>
      </c>
      <c r="G227" s="54">
        <v>30792.333600000002</v>
      </c>
      <c r="H227" s="52">
        <v>437</v>
      </c>
      <c r="I227" s="53">
        <v>0.61095900000000003</v>
      </c>
      <c r="J227" s="52">
        <v>319</v>
      </c>
      <c r="K227" s="52">
        <v>815</v>
      </c>
      <c r="L227" s="52">
        <f t="shared" si="42"/>
        <v>496</v>
      </c>
      <c r="M227" s="52">
        <f t="shared" si="43"/>
        <v>118</v>
      </c>
      <c r="N227" s="55">
        <f t="shared" si="44"/>
        <v>0.29032258064516131</v>
      </c>
      <c r="O227" s="56">
        <f t="shared" si="45"/>
        <v>0.61095900000000003</v>
      </c>
      <c r="V227" s="54">
        <f t="shared" si="46"/>
        <v>319</v>
      </c>
      <c r="W227" s="52">
        <f t="shared" si="47"/>
        <v>620</v>
      </c>
      <c r="X227" s="52">
        <f t="shared" si="48"/>
        <v>257</v>
      </c>
      <c r="Y227" s="55">
        <f t="shared" si="49"/>
        <v>-391.71089208996716</v>
      </c>
      <c r="Z227" s="55">
        <f t="shared" si="50"/>
        <v>461.68928481172605</v>
      </c>
      <c r="AA227" s="55">
        <f t="shared" si="51"/>
        <v>461.68928481172605</v>
      </c>
      <c r="AB227" s="52">
        <f t="shared" si="52"/>
        <v>0.33014400776084846</v>
      </c>
      <c r="AC227" s="52">
        <f t="shared" si="53"/>
        <v>0.58932403225806462</v>
      </c>
      <c r="AD227" s="52">
        <f t="shared" si="54"/>
        <v>272.08459097558841</v>
      </c>
      <c r="AE227" s="62">
        <f t="shared" si="55"/>
        <v>190.45921368291187</v>
      </c>
    </row>
    <row r="228" spans="1:31" x14ac:dyDescent="0.3">
      <c r="A228" t="s">
        <v>343</v>
      </c>
      <c r="B228" t="s">
        <v>344</v>
      </c>
      <c r="C228" t="s">
        <v>61</v>
      </c>
      <c r="D228">
        <v>2</v>
      </c>
      <c r="E228" s="52">
        <v>3600</v>
      </c>
      <c r="F228" s="53">
        <v>0.232877</v>
      </c>
      <c r="G228" s="54">
        <v>10060.286400000001</v>
      </c>
      <c r="H228" s="52">
        <v>663</v>
      </c>
      <c r="I228" s="53">
        <v>0.232877</v>
      </c>
      <c r="J228" s="52">
        <v>332</v>
      </c>
      <c r="K228" s="52">
        <v>805</v>
      </c>
      <c r="L228" s="52">
        <f t="shared" si="42"/>
        <v>473</v>
      </c>
      <c r="M228" s="52">
        <f t="shared" si="43"/>
        <v>331</v>
      </c>
      <c r="N228" s="55">
        <f t="shared" si="44"/>
        <v>0.65983086680761105</v>
      </c>
      <c r="O228" s="56">
        <f t="shared" si="45"/>
        <v>0.232877</v>
      </c>
      <c r="V228" s="54">
        <f t="shared" si="46"/>
        <v>332</v>
      </c>
      <c r="W228" s="52">
        <f t="shared" si="47"/>
        <v>591.25</v>
      </c>
      <c r="X228" s="52">
        <f t="shared" si="48"/>
        <v>272.875</v>
      </c>
      <c r="Y228" s="55">
        <f t="shared" si="49"/>
        <v>-373.54687894869852</v>
      </c>
      <c r="Z228" s="55">
        <f t="shared" si="50"/>
        <v>454.17647523376291</v>
      </c>
      <c r="AA228" s="55">
        <f t="shared" si="51"/>
        <v>454.17647523376291</v>
      </c>
      <c r="AB228" s="52">
        <f t="shared" si="52"/>
        <v>0.30664097291122694</v>
      </c>
      <c r="AC228" s="52">
        <f t="shared" si="53"/>
        <v>0.60792433403805501</v>
      </c>
      <c r="AD228" s="52">
        <f t="shared" si="54"/>
        <v>276.10493124223649</v>
      </c>
      <c r="AE228" s="62">
        <f t="shared" si="55"/>
        <v>193.27345186956552</v>
      </c>
    </row>
    <row r="229" spans="1:31" x14ac:dyDescent="0.3">
      <c r="A229" t="s">
        <v>345</v>
      </c>
      <c r="B229" t="s">
        <v>344</v>
      </c>
      <c r="C229" t="s">
        <v>70</v>
      </c>
      <c r="D229">
        <v>1</v>
      </c>
      <c r="E229" s="52">
        <v>4000</v>
      </c>
      <c r="F229" s="53">
        <v>0.50684899999999999</v>
      </c>
      <c r="G229" s="54">
        <v>24328.752</v>
      </c>
      <c r="H229" s="52">
        <v>337</v>
      </c>
      <c r="I229" s="53">
        <v>0.50684899999999999</v>
      </c>
      <c r="J229" s="52">
        <v>179</v>
      </c>
      <c r="K229" s="52">
        <v>629</v>
      </c>
      <c r="L229" s="52">
        <f t="shared" si="42"/>
        <v>450</v>
      </c>
      <c r="M229" s="52">
        <f t="shared" si="43"/>
        <v>158</v>
      </c>
      <c r="N229" s="55">
        <f t="shared" si="44"/>
        <v>0.38088888888888894</v>
      </c>
      <c r="O229" s="56">
        <f t="shared" si="45"/>
        <v>0.50684899999999999</v>
      </c>
      <c r="V229" s="54">
        <f t="shared" si="46"/>
        <v>179</v>
      </c>
      <c r="W229" s="52">
        <f t="shared" si="47"/>
        <v>562.5</v>
      </c>
      <c r="X229" s="52">
        <f t="shared" si="48"/>
        <v>122.75</v>
      </c>
      <c r="Y229" s="55">
        <f t="shared" si="49"/>
        <v>-355.38286580742988</v>
      </c>
      <c r="Z229" s="55">
        <f t="shared" si="50"/>
        <v>363.66366565579983</v>
      </c>
      <c r="AA229" s="55">
        <f t="shared" si="51"/>
        <v>363.66366565579983</v>
      </c>
      <c r="AB229" s="52">
        <f t="shared" si="52"/>
        <v>0.42829096116586635</v>
      </c>
      <c r="AC229" s="52">
        <f t="shared" si="53"/>
        <v>0.51165053333333343</v>
      </c>
      <c r="AD229" s="52">
        <f t="shared" si="54"/>
        <v>186.06870848674504</v>
      </c>
      <c r="AE229" s="62">
        <f t="shared" si="55"/>
        <v>130.24809594072153</v>
      </c>
    </row>
    <row r="230" spans="1:31" x14ac:dyDescent="0.3">
      <c r="A230" t="s">
        <v>346</v>
      </c>
      <c r="B230" t="s">
        <v>344</v>
      </c>
      <c r="C230" t="s">
        <v>70</v>
      </c>
      <c r="D230">
        <v>2</v>
      </c>
      <c r="E230" s="52">
        <v>5500</v>
      </c>
      <c r="F230" s="53">
        <v>0.61643800000000004</v>
      </c>
      <c r="G230" s="54">
        <v>40684.908000000003</v>
      </c>
      <c r="H230" s="52">
        <v>447</v>
      </c>
      <c r="I230" s="53">
        <v>0.61643800000000004</v>
      </c>
      <c r="J230" s="52">
        <v>227</v>
      </c>
      <c r="K230" s="52">
        <v>813</v>
      </c>
      <c r="L230" s="52">
        <f t="shared" si="42"/>
        <v>586</v>
      </c>
      <c r="M230" s="52">
        <f t="shared" si="43"/>
        <v>220</v>
      </c>
      <c r="N230" s="55">
        <f t="shared" si="44"/>
        <v>0.40034129692832765</v>
      </c>
      <c r="O230" s="56">
        <f t="shared" si="45"/>
        <v>0.61643800000000004</v>
      </c>
      <c r="V230" s="54">
        <f t="shared" si="46"/>
        <v>227</v>
      </c>
      <c r="W230" s="52">
        <f t="shared" si="47"/>
        <v>732.5</v>
      </c>
      <c r="X230" s="52">
        <f t="shared" si="48"/>
        <v>153.75</v>
      </c>
      <c r="Y230" s="55">
        <f t="shared" si="49"/>
        <v>-462.78746525145311</v>
      </c>
      <c r="Z230" s="55">
        <f t="shared" si="50"/>
        <v>470.52201794288595</v>
      </c>
      <c r="AA230" s="55">
        <f t="shared" si="51"/>
        <v>470.52201794288595</v>
      </c>
      <c r="AB230" s="52">
        <f t="shared" si="52"/>
        <v>0.43245326681622653</v>
      </c>
      <c r="AC230" s="52">
        <f t="shared" si="53"/>
        <v>0.50835648464163841</v>
      </c>
      <c r="AD230" s="52">
        <f t="shared" si="54"/>
        <v>239.1929189879354</v>
      </c>
      <c r="AE230" s="62">
        <f t="shared" si="55"/>
        <v>167.43504329155476</v>
      </c>
    </row>
    <row r="231" spans="1:31" x14ac:dyDescent="0.3">
      <c r="A231" t="s">
        <v>347</v>
      </c>
      <c r="B231" t="s">
        <v>344</v>
      </c>
      <c r="C231" t="s">
        <v>61</v>
      </c>
      <c r="D231">
        <v>1</v>
      </c>
      <c r="E231" s="52">
        <v>3000</v>
      </c>
      <c r="F231" s="53">
        <v>0.10137</v>
      </c>
      <c r="G231" s="54">
        <v>3649.32</v>
      </c>
      <c r="H231" s="52">
        <v>610</v>
      </c>
      <c r="I231" s="53">
        <v>0.10137</v>
      </c>
      <c r="J231" s="52">
        <v>115</v>
      </c>
      <c r="K231" s="52">
        <v>650</v>
      </c>
      <c r="L231" s="52">
        <f t="shared" si="42"/>
        <v>535</v>
      </c>
      <c r="M231" s="52">
        <f t="shared" si="43"/>
        <v>495</v>
      </c>
      <c r="N231" s="55">
        <f t="shared" si="44"/>
        <v>0.84018691588785044</v>
      </c>
      <c r="O231" s="56">
        <f t="shared" si="45"/>
        <v>0.10137</v>
      </c>
      <c r="V231" s="54">
        <f t="shared" si="46"/>
        <v>115</v>
      </c>
      <c r="W231" s="52">
        <f t="shared" si="47"/>
        <v>668.75</v>
      </c>
      <c r="X231" s="52">
        <f t="shared" si="48"/>
        <v>48.125</v>
      </c>
      <c r="Y231" s="55">
        <f t="shared" si="49"/>
        <v>-422.51074045994443</v>
      </c>
      <c r="Z231" s="55">
        <f t="shared" si="50"/>
        <v>383.45013583522876</v>
      </c>
      <c r="AA231" s="55">
        <f t="shared" si="51"/>
        <v>383.45013583522876</v>
      </c>
      <c r="AB231" s="52">
        <f t="shared" si="52"/>
        <v>0.50142076386576262</v>
      </c>
      <c r="AC231" s="52">
        <f t="shared" si="53"/>
        <v>0.45377560747663548</v>
      </c>
      <c r="AD231" s="52">
        <f t="shared" si="54"/>
        <v>174.00031832562934</v>
      </c>
      <c r="AE231" s="62">
        <f t="shared" si="55"/>
        <v>121.80022282794053</v>
      </c>
    </row>
    <row r="232" spans="1:31" x14ac:dyDescent="0.3">
      <c r="A232" t="s">
        <v>348</v>
      </c>
      <c r="B232" t="s">
        <v>349</v>
      </c>
      <c r="C232" t="s">
        <v>61</v>
      </c>
      <c r="D232">
        <v>2</v>
      </c>
      <c r="E232" s="52">
        <v>4000</v>
      </c>
      <c r="F232" s="53">
        <v>0.31506799999999996</v>
      </c>
      <c r="G232" s="54">
        <v>15123.263999999997</v>
      </c>
      <c r="H232" s="52">
        <v>302</v>
      </c>
      <c r="I232" s="53">
        <v>0.31506799999999996</v>
      </c>
      <c r="J232" s="52">
        <v>220</v>
      </c>
      <c r="K232" s="52">
        <v>534</v>
      </c>
      <c r="L232" s="52">
        <f t="shared" si="42"/>
        <v>314</v>
      </c>
      <c r="M232" s="52">
        <f t="shared" si="43"/>
        <v>82</v>
      </c>
      <c r="N232" s="55">
        <f t="shared" si="44"/>
        <v>0.30891719745222934</v>
      </c>
      <c r="O232" s="56">
        <f t="shared" si="45"/>
        <v>0.31506799999999996</v>
      </c>
      <c r="V232" s="54">
        <f t="shared" si="46"/>
        <v>220</v>
      </c>
      <c r="W232" s="52">
        <f t="shared" si="47"/>
        <v>392.5</v>
      </c>
      <c r="X232" s="52">
        <f t="shared" si="48"/>
        <v>180.75</v>
      </c>
      <c r="Y232" s="55">
        <f t="shared" si="49"/>
        <v>-247.97826636340662</v>
      </c>
      <c r="Z232" s="55">
        <f t="shared" si="50"/>
        <v>301.30531336871366</v>
      </c>
      <c r="AA232" s="55">
        <f t="shared" si="51"/>
        <v>301.30531336871366</v>
      </c>
      <c r="AB232" s="52">
        <f t="shared" si="52"/>
        <v>0.30714729520691375</v>
      </c>
      <c r="AC232" s="52">
        <f t="shared" si="53"/>
        <v>0.60752363057324854</v>
      </c>
      <c r="AD232" s="52">
        <f t="shared" si="54"/>
        <v>183.05009788877129</v>
      </c>
      <c r="AE232" s="62">
        <f t="shared" si="55"/>
        <v>128.1350685221399</v>
      </c>
    </row>
    <row r="233" spans="1:31" x14ac:dyDescent="0.3">
      <c r="A233" t="s">
        <v>350</v>
      </c>
      <c r="B233" t="s">
        <v>349</v>
      </c>
      <c r="C233" t="s">
        <v>70</v>
      </c>
      <c r="D233">
        <v>1</v>
      </c>
      <c r="E233" s="52">
        <v>4000</v>
      </c>
      <c r="F233" s="53">
        <v>0.65205500000000005</v>
      </c>
      <c r="G233" s="54">
        <v>31298.640000000003</v>
      </c>
      <c r="H233" s="52">
        <v>213</v>
      </c>
      <c r="I233" s="53">
        <v>0.65205500000000005</v>
      </c>
      <c r="J233" s="52">
        <v>128</v>
      </c>
      <c r="K233" s="52">
        <v>450</v>
      </c>
      <c r="L233" s="52">
        <f t="shared" si="42"/>
        <v>322</v>
      </c>
      <c r="M233" s="52">
        <f t="shared" si="43"/>
        <v>85</v>
      </c>
      <c r="N233" s="55">
        <f t="shared" si="44"/>
        <v>0.31118012422360253</v>
      </c>
      <c r="O233" s="56">
        <f t="shared" si="45"/>
        <v>0.65205500000000005</v>
      </c>
      <c r="V233" s="54">
        <f t="shared" si="46"/>
        <v>128</v>
      </c>
      <c r="W233" s="52">
        <f t="shared" si="47"/>
        <v>402.5</v>
      </c>
      <c r="X233" s="52">
        <f t="shared" si="48"/>
        <v>87.75</v>
      </c>
      <c r="Y233" s="55">
        <f t="shared" si="49"/>
        <v>-254.29618397776093</v>
      </c>
      <c r="Z233" s="55">
        <f t="shared" si="50"/>
        <v>260.17933409148344</v>
      </c>
      <c r="AA233" s="55">
        <f t="shared" si="51"/>
        <v>260.17933409148344</v>
      </c>
      <c r="AB233" s="52">
        <f t="shared" si="52"/>
        <v>0.42839586109685329</v>
      </c>
      <c r="AC233" s="52">
        <f t="shared" si="53"/>
        <v>0.51156751552795032</v>
      </c>
      <c r="AD233" s="52">
        <f t="shared" si="54"/>
        <v>133.09929553289672</v>
      </c>
      <c r="AE233" s="62">
        <f t="shared" si="55"/>
        <v>93.1695068730277</v>
      </c>
    </row>
    <row r="234" spans="1:31" x14ac:dyDescent="0.3">
      <c r="A234" t="s">
        <v>351</v>
      </c>
      <c r="B234" t="s">
        <v>349</v>
      </c>
      <c r="C234" t="s">
        <v>70</v>
      </c>
      <c r="D234">
        <v>2</v>
      </c>
      <c r="E234" s="52">
        <v>5000</v>
      </c>
      <c r="F234" s="53">
        <v>0.51232900000000003</v>
      </c>
      <c r="G234" s="54">
        <v>30739.74</v>
      </c>
      <c r="H234" s="52">
        <v>364</v>
      </c>
      <c r="I234" s="53">
        <v>0.51232900000000003</v>
      </c>
      <c r="J234" s="52">
        <v>152</v>
      </c>
      <c r="K234" s="52">
        <v>546</v>
      </c>
      <c r="L234" s="52">
        <f t="shared" si="42"/>
        <v>394</v>
      </c>
      <c r="M234" s="52">
        <f t="shared" si="43"/>
        <v>212</v>
      </c>
      <c r="N234" s="55">
        <f t="shared" si="44"/>
        <v>0.53045685279187826</v>
      </c>
      <c r="O234" s="56">
        <f t="shared" si="45"/>
        <v>0.51232900000000003</v>
      </c>
      <c r="V234" s="54">
        <f t="shared" si="46"/>
        <v>152</v>
      </c>
      <c r="W234" s="52">
        <f t="shared" si="47"/>
        <v>492.5</v>
      </c>
      <c r="X234" s="52">
        <f t="shared" si="48"/>
        <v>102.75</v>
      </c>
      <c r="Y234" s="55">
        <f t="shared" si="49"/>
        <v>-311.15744250694974</v>
      </c>
      <c r="Z234" s="55">
        <f t="shared" si="50"/>
        <v>316.04552059641145</v>
      </c>
      <c r="AA234" s="55">
        <f t="shared" si="51"/>
        <v>316.04552059641145</v>
      </c>
      <c r="AB234" s="52">
        <f t="shared" si="52"/>
        <v>0.43308735146479482</v>
      </c>
      <c r="AC234" s="52">
        <f t="shared" si="53"/>
        <v>0.50785467005076135</v>
      </c>
      <c r="AD234" s="52">
        <f t="shared" si="54"/>
        <v>160.50519358351164</v>
      </c>
      <c r="AE234" s="62">
        <f t="shared" si="55"/>
        <v>112.35363550845814</v>
      </c>
    </row>
    <row r="235" spans="1:31" x14ac:dyDescent="0.3">
      <c r="A235" t="s">
        <v>352</v>
      </c>
      <c r="B235" t="s">
        <v>349</v>
      </c>
      <c r="C235" t="s">
        <v>61</v>
      </c>
      <c r="D235">
        <v>1</v>
      </c>
      <c r="E235" s="52">
        <v>3200</v>
      </c>
      <c r="F235" s="53">
        <v>0.62739699999999998</v>
      </c>
      <c r="G235" s="54">
        <v>24092.0448</v>
      </c>
      <c r="H235" s="52">
        <v>251</v>
      </c>
      <c r="I235" s="53">
        <v>0.62739699999999998</v>
      </c>
      <c r="J235" s="52">
        <v>94</v>
      </c>
      <c r="K235" s="52">
        <v>528</v>
      </c>
      <c r="L235" s="52">
        <f t="shared" si="42"/>
        <v>434</v>
      </c>
      <c r="M235" s="52">
        <f t="shared" si="43"/>
        <v>157</v>
      </c>
      <c r="N235" s="55">
        <f t="shared" si="44"/>
        <v>0.38940092165898621</v>
      </c>
      <c r="O235" s="56">
        <f t="shared" si="45"/>
        <v>0.62739699999999998</v>
      </c>
      <c r="V235" s="54">
        <f t="shared" si="46"/>
        <v>94</v>
      </c>
      <c r="W235" s="52">
        <f t="shared" si="47"/>
        <v>542.5</v>
      </c>
      <c r="X235" s="52">
        <f t="shared" si="48"/>
        <v>39.75</v>
      </c>
      <c r="Y235" s="55">
        <f t="shared" si="49"/>
        <v>-342.74703057872125</v>
      </c>
      <c r="Z235" s="55">
        <f t="shared" si="50"/>
        <v>311.41562421026032</v>
      </c>
      <c r="AA235" s="55">
        <f t="shared" si="51"/>
        <v>311.41562421026032</v>
      </c>
      <c r="AB235" s="52">
        <f t="shared" si="52"/>
        <v>0.50076612757651673</v>
      </c>
      <c r="AC235" s="52">
        <f t="shared" si="53"/>
        <v>0.45429368663594466</v>
      </c>
      <c r="AD235" s="52">
        <f t="shared" si="54"/>
        <v>141.47415199851309</v>
      </c>
      <c r="AE235" s="62">
        <f t="shared" si="55"/>
        <v>99.031906398959165</v>
      </c>
    </row>
    <row r="236" spans="1:31" x14ac:dyDescent="0.3">
      <c r="A236" t="s">
        <v>353</v>
      </c>
      <c r="B236" t="s">
        <v>354</v>
      </c>
      <c r="C236" t="s">
        <v>61</v>
      </c>
      <c r="D236">
        <v>2</v>
      </c>
      <c r="E236" s="52">
        <v>3500</v>
      </c>
      <c r="F236" s="53">
        <v>0.39726</v>
      </c>
      <c r="G236" s="54">
        <v>16684.920000000002</v>
      </c>
      <c r="H236" s="52">
        <v>343</v>
      </c>
      <c r="I236" s="53">
        <v>0.39726</v>
      </c>
      <c r="J236" s="52">
        <v>194</v>
      </c>
      <c r="K236" s="52">
        <v>471</v>
      </c>
      <c r="L236" s="52">
        <f t="shared" si="42"/>
        <v>277</v>
      </c>
      <c r="M236" s="52">
        <f t="shared" si="43"/>
        <v>149</v>
      </c>
      <c r="N236" s="55">
        <f t="shared" si="44"/>
        <v>0.53032490974729241</v>
      </c>
      <c r="O236" s="56">
        <f t="shared" si="45"/>
        <v>0.39726</v>
      </c>
      <c r="V236" s="54">
        <f t="shared" si="46"/>
        <v>194</v>
      </c>
      <c r="W236" s="52">
        <f t="shared" si="47"/>
        <v>346.25</v>
      </c>
      <c r="X236" s="52">
        <f t="shared" si="48"/>
        <v>159.375</v>
      </c>
      <c r="Y236" s="55">
        <f t="shared" si="49"/>
        <v>-218.75789739701796</v>
      </c>
      <c r="Z236" s="55">
        <f t="shared" si="50"/>
        <v>265.76296752590349</v>
      </c>
      <c r="AA236" s="55">
        <f t="shared" si="51"/>
        <v>265.76296752590349</v>
      </c>
      <c r="AB236" s="52">
        <f t="shared" si="52"/>
        <v>0.3072576679448476</v>
      </c>
      <c r="AC236" s="52">
        <f t="shared" si="53"/>
        <v>0.60743628158844765</v>
      </c>
      <c r="AD236" s="52">
        <f t="shared" si="54"/>
        <v>161.43406877784619</v>
      </c>
      <c r="AE236" s="62">
        <f t="shared" si="55"/>
        <v>113.00384814449232</v>
      </c>
    </row>
    <row r="237" spans="1:31" x14ac:dyDescent="0.3">
      <c r="A237" t="s">
        <v>355</v>
      </c>
      <c r="B237" t="s">
        <v>63</v>
      </c>
      <c r="C237" t="s">
        <v>61</v>
      </c>
      <c r="D237">
        <v>1</v>
      </c>
      <c r="E237" s="52">
        <v>965</v>
      </c>
      <c r="F237" s="53">
        <v>0.37534200000000001</v>
      </c>
      <c r="G237" s="54">
        <v>4346.46036</v>
      </c>
      <c r="H237" s="52">
        <v>125</v>
      </c>
      <c r="I237" s="53">
        <v>0.37534200000000001</v>
      </c>
      <c r="J237" s="52">
        <v>50</v>
      </c>
      <c r="K237" s="52">
        <v>174</v>
      </c>
      <c r="L237" s="52">
        <f t="shared" si="42"/>
        <v>124</v>
      </c>
      <c r="M237" s="52">
        <f t="shared" si="43"/>
        <v>75</v>
      </c>
      <c r="N237" s="55">
        <f t="shared" si="44"/>
        <v>0.58387096774193548</v>
      </c>
      <c r="O237" s="56">
        <f t="shared" si="45"/>
        <v>0.37534200000000001</v>
      </c>
      <c r="V237" s="54">
        <f t="shared" si="46"/>
        <v>50</v>
      </c>
      <c r="W237" s="52">
        <f t="shared" si="47"/>
        <v>155</v>
      </c>
      <c r="X237" s="52">
        <f t="shared" si="48"/>
        <v>34.5</v>
      </c>
      <c r="Y237" s="55">
        <f t="shared" si="49"/>
        <v>-97.92772302249179</v>
      </c>
      <c r="Z237" s="55">
        <f t="shared" si="50"/>
        <v>100.54732120293151</v>
      </c>
      <c r="AA237" s="55">
        <f t="shared" si="51"/>
        <v>100.54732120293151</v>
      </c>
      <c r="AB237" s="52">
        <f t="shared" si="52"/>
        <v>0.42611174969633236</v>
      </c>
      <c r="AC237" s="52">
        <f t="shared" si="53"/>
        <v>0.51337516129032257</v>
      </c>
      <c r="AD237" s="52">
        <f t="shared" si="54"/>
        <v>51.618497239864837</v>
      </c>
      <c r="AE237" s="62">
        <f t="shared" si="55"/>
        <v>36.132948067905382</v>
      </c>
    </row>
    <row r="238" spans="1:31" x14ac:dyDescent="0.3">
      <c r="A238" t="s">
        <v>356</v>
      </c>
      <c r="B238" t="s">
        <v>354</v>
      </c>
      <c r="C238" t="s">
        <v>70</v>
      </c>
      <c r="D238">
        <v>1</v>
      </c>
      <c r="E238" s="52">
        <v>3200</v>
      </c>
      <c r="F238" s="53">
        <v>0.33424700000000002</v>
      </c>
      <c r="G238" s="54">
        <v>12835.084800000001</v>
      </c>
      <c r="H238" s="52">
        <v>251</v>
      </c>
      <c r="I238" s="53">
        <v>0.33424700000000002</v>
      </c>
      <c r="J238" s="52">
        <v>138</v>
      </c>
      <c r="K238" s="52">
        <v>485</v>
      </c>
      <c r="L238" s="52">
        <f t="shared" si="42"/>
        <v>347</v>
      </c>
      <c r="M238" s="52">
        <f t="shared" si="43"/>
        <v>113</v>
      </c>
      <c r="N238" s="55">
        <f t="shared" si="44"/>
        <v>0.36051873198847262</v>
      </c>
      <c r="O238" s="56">
        <f t="shared" si="45"/>
        <v>0.33424700000000002</v>
      </c>
      <c r="V238" s="54">
        <f t="shared" si="46"/>
        <v>138</v>
      </c>
      <c r="W238" s="52">
        <f t="shared" si="47"/>
        <v>433.75</v>
      </c>
      <c r="X238" s="52">
        <f t="shared" si="48"/>
        <v>94.625</v>
      </c>
      <c r="Y238" s="55">
        <f t="shared" si="49"/>
        <v>-274.03967652261815</v>
      </c>
      <c r="Z238" s="55">
        <f t="shared" si="50"/>
        <v>280.41064885013901</v>
      </c>
      <c r="AA238" s="55">
        <f t="shared" si="51"/>
        <v>280.41064885013901</v>
      </c>
      <c r="AB238" s="52">
        <f t="shared" si="52"/>
        <v>0.42832426247870664</v>
      </c>
      <c r="AC238" s="52">
        <f t="shared" si="53"/>
        <v>0.51162417867435162</v>
      </c>
      <c r="AD238" s="52">
        <f t="shared" si="54"/>
        <v>143.46486790949439</v>
      </c>
      <c r="AE238" s="62">
        <f t="shared" si="55"/>
        <v>100.42540753664606</v>
      </c>
    </row>
    <row r="239" spans="1:31" x14ac:dyDescent="0.3">
      <c r="A239" t="s">
        <v>357</v>
      </c>
      <c r="B239" t="s">
        <v>354</v>
      </c>
      <c r="C239" t="s">
        <v>70</v>
      </c>
      <c r="D239">
        <v>2</v>
      </c>
      <c r="E239" s="52">
        <v>3500</v>
      </c>
      <c r="F239" s="53">
        <v>0.36164400000000002</v>
      </c>
      <c r="G239" s="54">
        <v>15189.048000000001</v>
      </c>
      <c r="H239" s="52">
        <v>404</v>
      </c>
      <c r="I239" s="53">
        <v>0.36164400000000002</v>
      </c>
      <c r="J239" s="52">
        <v>152</v>
      </c>
      <c r="K239" s="52">
        <v>547</v>
      </c>
      <c r="L239" s="52">
        <f t="shared" si="42"/>
        <v>395</v>
      </c>
      <c r="M239" s="52">
        <f t="shared" si="43"/>
        <v>252</v>
      </c>
      <c r="N239" s="55">
        <f t="shared" si="44"/>
        <v>0.61037974683544305</v>
      </c>
      <c r="O239" s="56">
        <f t="shared" si="45"/>
        <v>0.36164400000000002</v>
      </c>
      <c r="V239" s="54">
        <f t="shared" si="46"/>
        <v>152</v>
      </c>
      <c r="W239" s="52">
        <f t="shared" si="47"/>
        <v>493.75</v>
      </c>
      <c r="X239" s="52">
        <f t="shared" si="48"/>
        <v>102.625</v>
      </c>
      <c r="Y239" s="55">
        <f t="shared" si="49"/>
        <v>-311.94718220874398</v>
      </c>
      <c r="Z239" s="55">
        <f t="shared" si="50"/>
        <v>316.65477318675761</v>
      </c>
      <c r="AA239" s="55">
        <f t="shared" si="51"/>
        <v>316.65477318675761</v>
      </c>
      <c r="AB239" s="52">
        <f t="shared" si="52"/>
        <v>0.43347802164406607</v>
      </c>
      <c r="AC239" s="52">
        <f t="shared" si="53"/>
        <v>0.50754549367088608</v>
      </c>
      <c r="AD239" s="52">
        <f t="shared" si="54"/>
        <v>160.71670318031536</v>
      </c>
      <c r="AE239" s="62">
        <f t="shared" si="55"/>
        <v>112.50169222622074</v>
      </c>
    </row>
    <row r="240" spans="1:31" x14ac:dyDescent="0.3">
      <c r="A240" t="s">
        <v>358</v>
      </c>
      <c r="B240" t="s">
        <v>354</v>
      </c>
      <c r="C240" t="s">
        <v>61</v>
      </c>
      <c r="D240">
        <v>1</v>
      </c>
      <c r="E240" s="52">
        <v>3000</v>
      </c>
      <c r="F240" s="53">
        <v>0.26575299999999996</v>
      </c>
      <c r="G240" s="54">
        <v>9567.1079999999984</v>
      </c>
      <c r="H240" s="52">
        <v>161</v>
      </c>
      <c r="I240" s="53">
        <v>0.26575299999999996</v>
      </c>
      <c r="J240" s="52">
        <v>77</v>
      </c>
      <c r="K240" s="52">
        <v>432</v>
      </c>
      <c r="L240" s="52">
        <f t="shared" si="42"/>
        <v>355</v>
      </c>
      <c r="M240" s="52">
        <f t="shared" si="43"/>
        <v>84</v>
      </c>
      <c r="N240" s="55">
        <f t="shared" si="44"/>
        <v>0.28929577464788736</v>
      </c>
      <c r="O240" s="56">
        <f t="shared" si="45"/>
        <v>0.26575299999999996</v>
      </c>
      <c r="V240" s="54">
        <f t="shared" si="46"/>
        <v>77</v>
      </c>
      <c r="W240" s="52">
        <f t="shared" si="47"/>
        <v>443.75</v>
      </c>
      <c r="X240" s="52">
        <f t="shared" si="48"/>
        <v>32.625</v>
      </c>
      <c r="Y240" s="55">
        <f t="shared" si="49"/>
        <v>-280.35759413697247</v>
      </c>
      <c r="Z240" s="55">
        <f t="shared" si="50"/>
        <v>254.7846695729088</v>
      </c>
      <c r="AA240" s="55">
        <f t="shared" si="51"/>
        <v>254.7846695729088</v>
      </c>
      <c r="AB240" s="52">
        <f t="shared" si="52"/>
        <v>0.5006415088966959</v>
      </c>
      <c r="AC240" s="52">
        <f t="shared" si="53"/>
        <v>0.45439230985915491</v>
      </c>
      <c r="AD240" s="52">
        <f t="shared" si="54"/>
        <v>115.77219452393557</v>
      </c>
      <c r="AE240" s="62">
        <f t="shared" si="55"/>
        <v>81.04053616675489</v>
      </c>
    </row>
    <row r="241" spans="1:31" x14ac:dyDescent="0.3">
      <c r="A241" t="s">
        <v>359</v>
      </c>
      <c r="B241" t="s">
        <v>360</v>
      </c>
      <c r="C241" t="s">
        <v>61</v>
      </c>
      <c r="D241">
        <v>1</v>
      </c>
      <c r="E241" s="52">
        <v>2600</v>
      </c>
      <c r="F241" s="53">
        <v>0.38630100000000001</v>
      </c>
      <c r="G241" s="54">
        <v>12052.591200000001</v>
      </c>
      <c r="H241" s="52">
        <v>408</v>
      </c>
      <c r="I241" s="53">
        <v>0.38630100000000001</v>
      </c>
      <c r="J241" s="52">
        <v>100</v>
      </c>
      <c r="K241" s="52">
        <v>565</v>
      </c>
      <c r="L241" s="52">
        <f t="shared" si="42"/>
        <v>465</v>
      </c>
      <c r="M241" s="52">
        <f t="shared" si="43"/>
        <v>308</v>
      </c>
      <c r="N241" s="55">
        <f t="shared" si="44"/>
        <v>0.62989247311827956</v>
      </c>
      <c r="O241" s="56">
        <f t="shared" si="45"/>
        <v>0.38630100000000001</v>
      </c>
      <c r="V241" s="54">
        <f t="shared" si="46"/>
        <v>100</v>
      </c>
      <c r="W241" s="52">
        <f t="shared" si="47"/>
        <v>581.25</v>
      </c>
      <c r="X241" s="52">
        <f t="shared" si="48"/>
        <v>41.875</v>
      </c>
      <c r="Y241" s="55">
        <f t="shared" si="49"/>
        <v>-367.22896133434421</v>
      </c>
      <c r="Z241" s="55">
        <f t="shared" si="50"/>
        <v>333.30245451099319</v>
      </c>
      <c r="AA241" s="55">
        <f t="shared" si="51"/>
        <v>333.30245451099319</v>
      </c>
      <c r="AB241" s="52">
        <f t="shared" si="52"/>
        <v>0.50138056690063348</v>
      </c>
      <c r="AC241" s="52">
        <f t="shared" si="53"/>
        <v>0.4538074193548387</v>
      </c>
      <c r="AD241" s="52">
        <f t="shared" si="54"/>
        <v>151.25512674626734</v>
      </c>
      <c r="AE241" s="62">
        <f t="shared" si="55"/>
        <v>105.87858872238714</v>
      </c>
    </row>
    <row r="242" spans="1:31" x14ac:dyDescent="0.3">
      <c r="A242" t="s">
        <v>361</v>
      </c>
      <c r="B242" t="s">
        <v>360</v>
      </c>
      <c r="C242" t="s">
        <v>61</v>
      </c>
      <c r="D242">
        <v>2</v>
      </c>
      <c r="E242" s="52">
        <v>4000</v>
      </c>
      <c r="F242" s="53">
        <v>0.31506799999999996</v>
      </c>
      <c r="G242" s="54">
        <v>15123.263999999997</v>
      </c>
      <c r="H242" s="52">
        <v>284</v>
      </c>
      <c r="I242" s="53">
        <v>0.31506799999999996</v>
      </c>
      <c r="J242" s="52">
        <v>204</v>
      </c>
      <c r="K242" s="52">
        <v>494</v>
      </c>
      <c r="L242" s="52">
        <f t="shared" si="42"/>
        <v>290</v>
      </c>
      <c r="M242" s="52">
        <f t="shared" si="43"/>
        <v>80</v>
      </c>
      <c r="N242" s="55">
        <f t="shared" si="44"/>
        <v>0.32068965517241377</v>
      </c>
      <c r="O242" s="56">
        <f t="shared" si="45"/>
        <v>0.31506799999999996</v>
      </c>
      <c r="V242" s="54">
        <f t="shared" si="46"/>
        <v>204</v>
      </c>
      <c r="W242" s="52">
        <f t="shared" si="47"/>
        <v>362.5</v>
      </c>
      <c r="X242" s="52">
        <f t="shared" si="48"/>
        <v>167.75</v>
      </c>
      <c r="Y242" s="55">
        <f t="shared" si="49"/>
        <v>-229.0245135203437</v>
      </c>
      <c r="Z242" s="55">
        <f t="shared" si="50"/>
        <v>278.68325120040436</v>
      </c>
      <c r="AA242" s="55">
        <f t="shared" si="51"/>
        <v>278.68325120040436</v>
      </c>
      <c r="AB242" s="52">
        <f t="shared" si="52"/>
        <v>0.30602276193214994</v>
      </c>
      <c r="AC242" s="52">
        <f t="shared" si="53"/>
        <v>0.60841358620689656</v>
      </c>
      <c r="AD242" s="52">
        <f t="shared" si="54"/>
        <v>169.55467627863541</v>
      </c>
      <c r="AE242" s="62">
        <f t="shared" si="55"/>
        <v>118.68827339504477</v>
      </c>
    </row>
    <row r="243" spans="1:31" x14ac:dyDescent="0.3">
      <c r="A243" t="s">
        <v>362</v>
      </c>
      <c r="B243" t="s">
        <v>360</v>
      </c>
      <c r="C243" t="s">
        <v>70</v>
      </c>
      <c r="D243">
        <v>1</v>
      </c>
      <c r="E243" s="52">
        <v>4000</v>
      </c>
      <c r="F243" s="53">
        <v>0.55616399999999999</v>
      </c>
      <c r="G243" s="54">
        <v>26695.871999999999</v>
      </c>
      <c r="H243" s="52">
        <v>443</v>
      </c>
      <c r="I243" s="53">
        <v>0.55616399999999999</v>
      </c>
      <c r="J243" s="52">
        <v>257</v>
      </c>
      <c r="K243" s="52">
        <v>903</v>
      </c>
      <c r="L243" s="52">
        <f t="shared" si="42"/>
        <v>646</v>
      </c>
      <c r="M243" s="52">
        <f t="shared" si="43"/>
        <v>186</v>
      </c>
      <c r="N243" s="55">
        <f t="shared" si="44"/>
        <v>0.33034055727554179</v>
      </c>
      <c r="O243" s="56">
        <f t="shared" si="45"/>
        <v>0.55616399999999999</v>
      </c>
      <c r="V243" s="54">
        <f t="shared" si="46"/>
        <v>257</v>
      </c>
      <c r="W243" s="52">
        <f t="shared" si="47"/>
        <v>807.5</v>
      </c>
      <c r="X243" s="52">
        <f t="shared" si="48"/>
        <v>176.25</v>
      </c>
      <c r="Y243" s="55">
        <f t="shared" si="49"/>
        <v>-510.17184735911042</v>
      </c>
      <c r="Z243" s="55">
        <f t="shared" si="50"/>
        <v>522.07717336365931</v>
      </c>
      <c r="AA243" s="55">
        <f t="shared" si="51"/>
        <v>522.07717336365931</v>
      </c>
      <c r="AB243" s="52">
        <f t="shared" si="52"/>
        <v>0.42826894534199295</v>
      </c>
      <c r="AC243" s="52">
        <f t="shared" si="53"/>
        <v>0.51166795665634679</v>
      </c>
      <c r="AD243" s="52">
        <f t="shared" si="54"/>
        <v>267.13016051190488</v>
      </c>
      <c r="AE243" s="62">
        <f t="shared" si="55"/>
        <v>186.9911123583334</v>
      </c>
    </row>
    <row r="244" spans="1:31" x14ac:dyDescent="0.3">
      <c r="A244" t="s">
        <v>363</v>
      </c>
      <c r="B244" t="s">
        <v>360</v>
      </c>
      <c r="C244" t="s">
        <v>70</v>
      </c>
      <c r="D244">
        <v>2</v>
      </c>
      <c r="E244" s="52">
        <v>5100</v>
      </c>
      <c r="F244" s="53">
        <v>0.44931500000000002</v>
      </c>
      <c r="G244" s="54">
        <v>27498.078000000001</v>
      </c>
      <c r="H244" s="52">
        <v>718</v>
      </c>
      <c r="I244" s="53">
        <v>0.44931500000000002</v>
      </c>
      <c r="J244" s="52">
        <v>256</v>
      </c>
      <c r="K244" s="52">
        <v>916</v>
      </c>
      <c r="L244" s="52">
        <f t="shared" si="42"/>
        <v>660</v>
      </c>
      <c r="M244" s="52">
        <f t="shared" si="43"/>
        <v>462</v>
      </c>
      <c r="N244" s="55">
        <f t="shared" si="44"/>
        <v>0.66</v>
      </c>
      <c r="O244" s="56">
        <f t="shared" si="45"/>
        <v>0.44931500000000002</v>
      </c>
      <c r="V244" s="54">
        <f t="shared" si="46"/>
        <v>256</v>
      </c>
      <c r="W244" s="52">
        <f t="shared" si="47"/>
        <v>825</v>
      </c>
      <c r="X244" s="52">
        <f t="shared" si="48"/>
        <v>173.5</v>
      </c>
      <c r="Y244" s="55">
        <f t="shared" si="49"/>
        <v>-521.22820318423044</v>
      </c>
      <c r="Z244" s="55">
        <f t="shared" si="50"/>
        <v>530.10670962850634</v>
      </c>
      <c r="AA244" s="55">
        <f t="shared" si="51"/>
        <v>530.10670962850634</v>
      </c>
      <c r="AB244" s="52">
        <f t="shared" si="52"/>
        <v>0.43225055712546223</v>
      </c>
      <c r="AC244" s="52">
        <f t="shared" si="53"/>
        <v>0.50851690909090919</v>
      </c>
      <c r="AD244" s="52">
        <f t="shared" si="54"/>
        <v>269.56822546864015</v>
      </c>
      <c r="AE244" s="62">
        <f t="shared" si="55"/>
        <v>188.69775782804808</v>
      </c>
    </row>
    <row r="245" spans="1:31" x14ac:dyDescent="0.3">
      <c r="A245" t="s">
        <v>364</v>
      </c>
      <c r="B245" t="s">
        <v>65</v>
      </c>
      <c r="C245" t="s">
        <v>61</v>
      </c>
      <c r="D245">
        <v>2</v>
      </c>
      <c r="E245" s="52">
        <v>5600</v>
      </c>
      <c r="F245" s="53">
        <v>0.31780799999999998</v>
      </c>
      <c r="G245" s="54">
        <v>21356.6976</v>
      </c>
      <c r="H245" s="52">
        <v>478</v>
      </c>
      <c r="I245" s="53">
        <v>0.31780799999999998</v>
      </c>
      <c r="J245" s="52">
        <v>265</v>
      </c>
      <c r="K245" s="52">
        <v>644</v>
      </c>
      <c r="L245" s="52">
        <f t="shared" si="42"/>
        <v>379</v>
      </c>
      <c r="M245" s="52">
        <f t="shared" si="43"/>
        <v>213</v>
      </c>
      <c r="N245" s="55">
        <f t="shared" si="44"/>
        <v>0.54960422163588396</v>
      </c>
      <c r="O245" s="56">
        <f t="shared" si="45"/>
        <v>0.31780799999999998</v>
      </c>
      <c r="V245" s="54">
        <f t="shared" si="46"/>
        <v>265</v>
      </c>
      <c r="W245" s="52">
        <f t="shared" si="47"/>
        <v>473.75</v>
      </c>
      <c r="X245" s="52">
        <f t="shared" si="48"/>
        <v>217.625</v>
      </c>
      <c r="Y245" s="55">
        <f t="shared" si="49"/>
        <v>-299.31134698003541</v>
      </c>
      <c r="Z245" s="55">
        <f t="shared" si="50"/>
        <v>363.40673174121815</v>
      </c>
      <c r="AA245" s="55">
        <f t="shared" si="51"/>
        <v>363.40673174121815</v>
      </c>
      <c r="AB245" s="52">
        <f t="shared" si="52"/>
        <v>0.30771869496827048</v>
      </c>
      <c r="AC245" s="52">
        <f t="shared" si="53"/>
        <v>0.60707142480211074</v>
      </c>
      <c r="AD245" s="52">
        <f t="shared" si="54"/>
        <v>220.61384242081974</v>
      </c>
      <c r="AE245" s="62">
        <f t="shared" si="55"/>
        <v>154.4296896945738</v>
      </c>
    </row>
    <row r="246" spans="1:31" x14ac:dyDescent="0.3">
      <c r="A246" t="s">
        <v>365</v>
      </c>
      <c r="B246" t="s">
        <v>65</v>
      </c>
      <c r="C246" t="s">
        <v>70</v>
      </c>
      <c r="D246">
        <v>1</v>
      </c>
      <c r="E246" s="52">
        <v>5000</v>
      </c>
      <c r="F246" s="53">
        <v>0.51232900000000003</v>
      </c>
      <c r="G246" s="54">
        <v>30739.74</v>
      </c>
      <c r="H246" s="52">
        <v>533</v>
      </c>
      <c r="I246" s="53">
        <v>0.51232900000000003</v>
      </c>
      <c r="J246" s="52">
        <v>236</v>
      </c>
      <c r="K246" s="52">
        <v>829</v>
      </c>
      <c r="L246" s="52">
        <f t="shared" si="42"/>
        <v>593</v>
      </c>
      <c r="M246" s="52">
        <f t="shared" si="43"/>
        <v>297</v>
      </c>
      <c r="N246" s="55">
        <f t="shared" si="44"/>
        <v>0.50067453625632385</v>
      </c>
      <c r="O246" s="56">
        <f t="shared" si="45"/>
        <v>0.51232900000000003</v>
      </c>
      <c r="V246" s="54">
        <f t="shared" si="46"/>
        <v>236</v>
      </c>
      <c r="W246" s="52">
        <f t="shared" si="47"/>
        <v>741.25</v>
      </c>
      <c r="X246" s="52">
        <f t="shared" si="48"/>
        <v>161.875</v>
      </c>
      <c r="Y246" s="55">
        <f t="shared" si="49"/>
        <v>-468.31564316401312</v>
      </c>
      <c r="Z246" s="55">
        <f t="shared" si="50"/>
        <v>479.28678607530964</v>
      </c>
      <c r="AA246" s="55">
        <f t="shared" si="51"/>
        <v>479.28678607530964</v>
      </c>
      <c r="AB246" s="52">
        <f t="shared" si="52"/>
        <v>0.42821151578456612</v>
      </c>
      <c r="AC246" s="52">
        <f t="shared" si="53"/>
        <v>0.51171340640809437</v>
      </c>
      <c r="AD246" s="52">
        <f t="shared" si="54"/>
        <v>245.25747394898431</v>
      </c>
      <c r="AE246" s="62">
        <f t="shared" si="55"/>
        <v>171.680231764289</v>
      </c>
    </row>
    <row r="247" spans="1:31" x14ac:dyDescent="0.3">
      <c r="A247" t="s">
        <v>366</v>
      </c>
      <c r="B247" t="s">
        <v>65</v>
      </c>
      <c r="C247" t="s">
        <v>70</v>
      </c>
      <c r="D247">
        <v>2</v>
      </c>
      <c r="E247" s="52">
        <v>6000</v>
      </c>
      <c r="F247" s="53">
        <v>0.369863</v>
      </c>
      <c r="G247" s="54">
        <v>26630.135999999999</v>
      </c>
      <c r="H247" s="52">
        <v>566</v>
      </c>
      <c r="I247" s="53">
        <v>0.369863</v>
      </c>
      <c r="J247" s="52">
        <v>244</v>
      </c>
      <c r="K247" s="52">
        <v>872</v>
      </c>
      <c r="L247" s="52">
        <f t="shared" si="42"/>
        <v>628</v>
      </c>
      <c r="M247" s="52">
        <f t="shared" si="43"/>
        <v>322</v>
      </c>
      <c r="N247" s="55">
        <f t="shared" si="44"/>
        <v>0.51019108280254777</v>
      </c>
      <c r="O247" s="56">
        <f t="shared" si="45"/>
        <v>0.369863</v>
      </c>
      <c r="V247" s="54">
        <f t="shared" si="46"/>
        <v>244</v>
      </c>
      <c r="W247" s="52">
        <f t="shared" si="47"/>
        <v>785</v>
      </c>
      <c r="X247" s="52">
        <f t="shared" si="48"/>
        <v>165.5</v>
      </c>
      <c r="Y247" s="55">
        <f t="shared" si="49"/>
        <v>-495.95653272681324</v>
      </c>
      <c r="Z247" s="55">
        <f t="shared" si="50"/>
        <v>504.61062673742731</v>
      </c>
      <c r="AA247" s="55">
        <f t="shared" si="51"/>
        <v>504.61062673742731</v>
      </c>
      <c r="AB247" s="52">
        <f t="shared" si="52"/>
        <v>0.43198805953812397</v>
      </c>
      <c r="AC247" s="52">
        <f t="shared" si="53"/>
        <v>0.50872464968152875</v>
      </c>
      <c r="AD247" s="52">
        <f t="shared" si="54"/>
        <v>256.70786431257437</v>
      </c>
      <c r="AE247" s="62">
        <f t="shared" si="55"/>
        <v>179.69550501880204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4- Alternative to "Solver"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ADMIN</cp:lastModifiedBy>
  <dcterms:created xsi:type="dcterms:W3CDTF">2016-02-26T18:42:49Z</dcterms:created>
  <dcterms:modified xsi:type="dcterms:W3CDTF">2026-01-12T21:16:54Z</dcterms:modified>
</cp:coreProperties>
</file>