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3256" windowHeight="13176" tabRatio="500"/>
  </bookViews>
  <sheets>
    <sheet name="1 - First Best-Fit Line" sheetId="1" r:id="rId1"/>
  </sheets>
  <definedNames>
    <definedName name="solver_adj" localSheetId="0" hidden="1">'1 - First Best-Fit Line'!$O$127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'1 - First Best-Fit Line'!$O$127</definedName>
    <definedName name="solver_lhs2" localSheetId="0" hidden="1">'1 - First Best-Fit Line'!$O$127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'1 - First Best-Fit Line'!$R$127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'1 - First Best-Fit Line'!$J$127</definedName>
    <definedName name="solver_rhs2" localSheetId="0" hidden="1">'1 - First Best-Fit Line'!$I$127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45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P27" i="1"/>
  <c r="Q27" i="1"/>
  <c r="R27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P127" i="1"/>
  <c r="Q127" i="1"/>
  <c r="R127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P4" i="1"/>
  <c r="Q4" i="1"/>
  <c r="R4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4" i="1"/>
  <c r="F2" i="1"/>
</calcChain>
</file>

<file path=xl/sharedStrings.xml><?xml version="1.0" encoding="utf-8"?>
<sst xmlns="http://schemas.openxmlformats.org/spreadsheetml/2006/main" count="763" uniqueCount="339">
  <si>
    <t xml:space="preserve">key </t>
  </si>
  <si>
    <t>Inputs from Database</t>
  </si>
  <si>
    <t>Calculated Values</t>
  </si>
  <si>
    <t>Chart/Scatter Plot:</t>
  </si>
  <si>
    <t xml:space="preserve">Long Term (LT) </t>
  </si>
  <si>
    <t>Short Term (ST)</t>
  </si>
  <si>
    <t>x axis values</t>
  </si>
  <si>
    <t xml:space="preserve">y axis values </t>
  </si>
  <si>
    <t xml:space="preserve">Watershed property ID </t>
  </si>
  <si>
    <t xml:space="preserve">location ID </t>
  </si>
  <si>
    <t xml:space="preserve">property type (Apartment or House) </t>
  </si>
  <si>
    <t xml:space="preserve">Number of Bedrooms (1 or 2) </t>
  </si>
  <si>
    <t>LT - Monthly Rent</t>
  </si>
  <si>
    <t>LT occupancy rate</t>
  </si>
  <si>
    <t>LT Annual Revenues</t>
  </si>
  <si>
    <t>ST 10th percentile rent</t>
  </si>
  <si>
    <t>ST 90th percentile rent</t>
  </si>
  <si>
    <t xml:space="preserve">ST Example Rent </t>
  </si>
  <si>
    <t>ST Example Occupancy Rate</t>
  </si>
  <si>
    <t>=Monthly Rent*12*LT Occupancy Rate</t>
  </si>
  <si>
    <t xml:space="preserve"> SOLVER  "Variable Cell" - Rent in Dollars per Night (ST) </t>
  </si>
  <si>
    <t>Variable Cell Dollars Normalized to Percentile (using formula in Guide spreadsheet)</t>
  </si>
  <si>
    <t xml:space="preserve">Model forecast occupancy = (Beta*( Dollars Normalized to Percentile)) + Alpha </t>
  </si>
  <si>
    <t>SOLVER "Objective"-  Forecast ST Annual Revenues Before Transaction Fees</t>
  </si>
  <si>
    <t>Forecast ST Annual Revenues After Transaction Fees</t>
  </si>
  <si>
    <t>W1</t>
  </si>
  <si>
    <t>W10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</si>
  <si>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</si>
  <si>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</si>
  <si>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</si>
  <si>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</si>
  <si>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</si>
  <si>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</si>
  <si>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</si>
  <si>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</si>
  <si>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</si>
  <si>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</si>
  <si>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</si>
  <si>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</si>
  <si>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</si>
  <si>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</si>
  <si>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</si>
  <si>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</si>
  <si>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</si>
  <si>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</si>
  <si>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</si>
  <si>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</si>
  <si>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</si>
  <si>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</si>
  <si>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</si>
  <si>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</si>
  <si>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</si>
  <si>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</si>
  <si>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</si>
  <si>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</si>
  <si>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</si>
  <si>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</si>
  <si>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</si>
  <si>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</si>
  <si>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</si>
  <si>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</si>
  <si>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</si>
  <si>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</si>
  <si>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</si>
  <si>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</si>
  <si>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</si>
  <si>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</si>
  <si>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</si>
  <si>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</si>
  <si>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</si>
  <si>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</si>
  <si>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</si>
  <si>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</si>
  <si>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</si>
  <si>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</si>
  <si>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</si>
  <si>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</si>
  <si>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</si>
  <si>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</si>
  <si>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</si>
  <si>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</si>
  <si>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</si>
  <si>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</si>
  <si>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</si>
  <si>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</si>
  <si>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</si>
  <si>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</si>
  <si>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</si>
  <si>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</si>
  <si>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</si>
  <si>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</si>
  <si>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</si>
  <si>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</si>
  <si>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</si>
  <si>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</si>
  <si>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</si>
  <si>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</si>
  <si>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</si>
  <si>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</si>
  <si>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</si>
  <si>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</si>
  <si>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</si>
  <si>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</si>
  <si>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</si>
  <si>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</si>
  <si>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</si>
  <si>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</si>
  <si>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</si>
  <si>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</si>
  <si>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</si>
  <si>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</si>
  <si>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</si>
  <si>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</si>
  <si>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</si>
  <si>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</si>
  <si>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</si>
  <si>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</si>
  <si>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</si>
  <si>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</si>
  <si>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</si>
  <si>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</si>
  <si>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</si>
  <si>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</si>
  <si>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</si>
  <si>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</si>
  <si>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</si>
  <si>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</si>
  <si>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</si>
  <si>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</si>
  <si>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</si>
  <si>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</si>
  <si>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</si>
  <si>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</si>
  <si>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</si>
  <si>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</si>
  <si>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</si>
  <si>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</t>
  </si>
  <si>
    <t>W20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</si>
  <si>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</si>
  <si>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</si>
  <si>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</si>
  <si>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</si>
  <si>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</si>
  <si>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</si>
  <si>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</si>
  <si>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</si>
  <si>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</si>
  <si>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</si>
  <si>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</si>
  <si>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</si>
  <si>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</si>
  <si>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</si>
  <si>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</si>
  <si>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</si>
  <si>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</si>
  <si>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</si>
  <si>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</si>
  <si>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</si>
  <si>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</si>
  <si>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</si>
  <si>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</si>
  <si>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</si>
  <si>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</si>
  <si>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</si>
  <si>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</si>
  <si>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</si>
  <si>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</si>
  <si>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</si>
  <si>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</si>
  <si>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</si>
  <si>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</si>
  <si>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</si>
  <si>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</si>
  <si>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</si>
  <si>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</si>
  <si>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</si>
  <si>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</si>
  <si>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</si>
  <si>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</si>
  <si>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</si>
  <si>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</si>
  <si>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</t>
  </si>
  <si>
    <t>W240</t>
  </si>
  <si>
    <t>W241</t>
  </si>
  <si>
    <t>W242</t>
  </si>
  <si>
    <t>W243</t>
  </si>
  <si>
    <t>W244</t>
  </si>
  <si>
    <t>W25</t>
  </si>
  <si>
    <t>W26</t>
  </si>
  <si>
    <t>W27</t>
  </si>
  <si>
    <t>W28</t>
  </si>
  <si>
    <t>W29</t>
  </si>
  <si>
    <t>W3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</si>
  <si>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</si>
  <si>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</si>
  <si>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</si>
  <si>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</si>
  <si>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</si>
  <si>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</si>
  <si>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</si>
  <si>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</si>
  <si>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</si>
  <si>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</si>
  <si>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</si>
  <si>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</si>
  <si>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</si>
  <si>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</si>
  <si>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</si>
  <si>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</si>
  <si>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</si>
  <si>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</si>
  <si>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</si>
  <si>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</si>
  <si>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</si>
  <si>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</si>
  <si>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</si>
  <si>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</si>
  <si>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</si>
  <si>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</si>
  <si>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</si>
  <si>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</si>
  <si>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</si>
  <si>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</si>
  <si>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</si>
  <si>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</si>
  <si>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</si>
  <si>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</si>
  <si>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</si>
  <si>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</si>
  <si>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</si>
  <si>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</si>
  <si>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</si>
  <si>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</si>
  <si>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</si>
  <si>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</si>
  <si>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</si>
  <si>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</si>
  <si>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</si>
  <si>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</si>
  <si>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</si>
  <si>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</si>
  <si>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</si>
  <si>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</si>
  <si>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</si>
  <si>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</si>
  <si>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</si>
  <si>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</si>
  <si>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</si>
  <si>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</si>
  <si>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</si>
  <si>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</si>
  <si>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</si>
  <si>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</si>
  <si>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</si>
  <si>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</si>
  <si>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</si>
  <si>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</si>
  <si>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</si>
  <si>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</si>
  <si>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</si>
  <si>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</si>
  <si>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</si>
  <si>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</si>
  <si>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</si>
  <si>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</si>
  <si>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</si>
  <si>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</si>
  <si>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</si>
  <si>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</si>
  <si>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L9531</t>
  </si>
  <si>
    <t>L9533</t>
  </si>
  <si>
    <t>L1944</t>
  </si>
  <si>
    <t>L15257</t>
  </si>
  <si>
    <t>L15260</t>
  </si>
  <si>
    <t>L15264</t>
  </si>
  <si>
    <t>L15278</t>
  </si>
  <si>
    <t>L15280</t>
  </si>
  <si>
    <t>L463</t>
  </si>
  <si>
    <t>L464</t>
  </si>
  <si>
    <t>L2314</t>
  </si>
  <si>
    <t>L9534</t>
  </si>
  <si>
    <t>L2318</t>
  </si>
  <si>
    <t>L2323</t>
  </si>
  <si>
    <t>L2325</t>
  </si>
  <si>
    <t>L2338</t>
  </si>
  <si>
    <t>L3244</t>
  </si>
  <si>
    <t>L3256</t>
  </si>
  <si>
    <t>L3261</t>
  </si>
  <si>
    <t>L3262</t>
  </si>
  <si>
    <t>L3264</t>
  </si>
  <si>
    <t>L10126</t>
  </si>
  <si>
    <t>L4761</t>
  </si>
  <si>
    <t>L10130</t>
  </si>
  <si>
    <t>L10133</t>
  </si>
  <si>
    <t>L10136</t>
  </si>
  <si>
    <t>L1882</t>
  </si>
  <si>
    <t>L1883</t>
  </si>
  <si>
    <t>L1887</t>
  </si>
  <si>
    <t>L1902</t>
  </si>
  <si>
    <t>L1916</t>
  </si>
  <si>
    <t>L12252</t>
  </si>
  <si>
    <t>L12260</t>
  </si>
  <si>
    <t>L4765</t>
  </si>
  <si>
    <t>L12264</t>
  </si>
  <si>
    <t>L16888</t>
  </si>
  <si>
    <t>L16887</t>
  </si>
  <si>
    <t>L16898</t>
  </si>
  <si>
    <t>L16890</t>
  </si>
  <si>
    <t>L14416</t>
  </si>
  <si>
    <t>L14418</t>
  </si>
  <si>
    <t>L14419</t>
  </si>
  <si>
    <t>L4770</t>
  </si>
  <si>
    <t>L4794</t>
  </si>
  <si>
    <t>L4804</t>
  </si>
  <si>
    <t>L11419</t>
  </si>
  <si>
    <t>L11421</t>
  </si>
  <si>
    <t>L11427</t>
  </si>
  <si>
    <t>L11431</t>
  </si>
  <si>
    <t>L11434</t>
  </si>
  <si>
    <t>L9532</t>
  </si>
  <si>
    <t>L11480</t>
  </si>
  <si>
    <t>L11495</t>
  </si>
  <si>
    <t>L1734</t>
  </si>
  <si>
    <t>L1735</t>
  </si>
  <si>
    <t>L1736</t>
  </si>
  <si>
    <t>L1737</t>
  </si>
  <si>
    <t>L1738</t>
  </si>
  <si>
    <t>L1940</t>
  </si>
  <si>
    <t>L1941</t>
  </si>
  <si>
    <t>L1942</t>
  </si>
  <si>
    <t>L1943</t>
  </si>
  <si>
    <t>apartment</t>
  </si>
  <si>
    <t>house</t>
  </si>
  <si>
    <t>Occupany rate in percentage</t>
  </si>
  <si>
    <t>x for normalization</t>
  </si>
  <si>
    <t>Normalised example rent</t>
  </si>
  <si>
    <t>Beta</t>
  </si>
  <si>
    <t>alpha</t>
  </si>
  <si>
    <t>transaction fee=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</si>
</sst>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&quot;$&quot;#,##0.00"/>
  </numFmts>
  <fonts count="7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0000FF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1" fillId="2" borderId="1" xfId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1" fillId="2" borderId="1" xfId="1" applyFont="1" applyBorder="1"/>
    <xf numFmtId="0" fontId="3" fillId="0" borderId="5" xfId="0" applyFont="1" applyBorder="1"/>
    <xf numFmtId="0" fontId="0" fillId="0" borderId="4" xfId="0" applyBorder="1"/>
    <xf numFmtId="0" fontId="0" fillId="0" borderId="2" xfId="0" quotePrefix="1" applyBorder="1"/>
    <xf numFmtId="0" fontId="1" fillId="2" borderId="5" xfId="1" applyBorder="1"/>
    <xf numFmtId="0" fontId="2" fillId="3" borderId="4" xfId="2" applyBorder="1"/>
    <xf numFmtId="164" fontId="0" fillId="0" borderId="0" xfId="0" applyNumberFormat="1"/>
    <xf numFmtId="2" fontId="0" fillId="0" borderId="0" xfId="0" applyNumberFormat="1"/>
    <xf numFmtId="2" fontId="0" fillId="0" borderId="0" xfId="9" applyNumberFormat="1" applyFont="1"/>
    <xf numFmtId="10" fontId="0" fillId="0" borderId="0" xfId="9" applyNumberFormat="1" applyFont="1"/>
    <xf numFmtId="165" fontId="0" fillId="0" borderId="0" xfId="0" applyNumberFormat="1"/>
    <xf numFmtId="165" fontId="3" fillId="0" borderId="4" xfId="0" applyNumberFormat="1" applyFont="1" applyBorder="1"/>
    <xf numFmtId="165" fontId="0" fillId="0" borderId="2" xfId="0" applyNumberFormat="1" applyBorder="1"/>
    <xf numFmtId="10" fontId="0" fillId="0" borderId="3" xfId="0" applyNumberFormat="1" applyBorder="1"/>
    <xf numFmtId="4" fontId="0" fillId="0" borderId="0" xfId="0" applyNumberFormat="1"/>
    <xf numFmtId="4" fontId="3" fillId="0" borderId="4" xfId="0" applyNumberFormat="1" applyFont="1" applyBorder="1"/>
    <xf numFmtId="165" fontId="0" fillId="0" borderId="0" xfId="0" applyNumberFormat="1" applyFill="1" applyBorder="1"/>
    <xf numFmtId="2" fontId="2" fillId="3" borderId="4" xfId="2" applyNumberFormat="1" applyBorder="1"/>
  </cellXfs>
  <cellStyles count="10">
    <cellStyle name="Followed Hyperlink" xfId="4" builtinId="9" hidden="1"/>
    <cellStyle name="Followed Hyperlink" xfId="6" builtinId="9" hidden="1"/>
    <cellStyle name="Followed Hyperlink" xfId="8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Neutral" xfId="2" builtinId="28"/>
    <cellStyle name="Normal" xfId="0" builtinId="0"/>
    <cellStyle name="Percent" xfId="9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8404175381693"/>
          <c:y val="7.4548702245552628E-2"/>
          <c:w val="0.62681802274715659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'1 - First Best-Fit Line'!$K$4:$K$247</c:f>
              <c:numCache>
                <c:formatCode>"$"#,##0.00</c:formatCode>
                <c:ptCount val="244"/>
                <c:pt idx="0">
                  <c:v>148</c:v>
                </c:pt>
                <c:pt idx="1">
                  <c:v>133</c:v>
                </c:pt>
                <c:pt idx="2">
                  <c:v>372</c:v>
                </c:pt>
                <c:pt idx="3">
                  <c:v>302</c:v>
                </c:pt>
                <c:pt idx="4">
                  <c:v>429</c:v>
                </c:pt>
                <c:pt idx="5">
                  <c:v>380</c:v>
                </c:pt>
                <c:pt idx="6">
                  <c:v>374</c:v>
                </c:pt>
                <c:pt idx="7">
                  <c:v>386</c:v>
                </c:pt>
                <c:pt idx="8">
                  <c:v>212</c:v>
                </c:pt>
                <c:pt idx="9">
                  <c:v>969</c:v>
                </c:pt>
                <c:pt idx="10">
                  <c:v>885</c:v>
                </c:pt>
                <c:pt idx="11">
                  <c:v>287</c:v>
                </c:pt>
                <c:pt idx="12">
                  <c:v>206</c:v>
                </c:pt>
                <c:pt idx="13">
                  <c:v>462</c:v>
                </c:pt>
                <c:pt idx="14">
                  <c:v>389</c:v>
                </c:pt>
                <c:pt idx="15">
                  <c:v>678</c:v>
                </c:pt>
                <c:pt idx="16">
                  <c:v>163</c:v>
                </c:pt>
                <c:pt idx="17">
                  <c:v>374</c:v>
                </c:pt>
                <c:pt idx="18">
                  <c:v>444</c:v>
                </c:pt>
                <c:pt idx="19">
                  <c:v>426</c:v>
                </c:pt>
                <c:pt idx="20">
                  <c:v>332</c:v>
                </c:pt>
                <c:pt idx="21">
                  <c:v>430</c:v>
                </c:pt>
                <c:pt idx="22">
                  <c:v>662</c:v>
                </c:pt>
                <c:pt idx="23">
                  <c:v>186</c:v>
                </c:pt>
                <c:pt idx="24">
                  <c:v>696</c:v>
                </c:pt>
                <c:pt idx="25">
                  <c:v>182</c:v>
                </c:pt>
                <c:pt idx="26">
                  <c:v>241</c:v>
                </c:pt>
                <c:pt idx="27">
                  <c:v>363</c:v>
                </c:pt>
                <c:pt idx="28">
                  <c:v>301</c:v>
                </c:pt>
                <c:pt idx="29">
                  <c:v>212</c:v>
                </c:pt>
                <c:pt idx="30">
                  <c:v>340</c:v>
                </c:pt>
                <c:pt idx="31">
                  <c:v>266</c:v>
                </c:pt>
                <c:pt idx="32">
                  <c:v>442</c:v>
                </c:pt>
                <c:pt idx="33">
                  <c:v>354</c:v>
                </c:pt>
                <c:pt idx="34">
                  <c:v>123</c:v>
                </c:pt>
                <c:pt idx="35">
                  <c:v>377</c:v>
                </c:pt>
                <c:pt idx="36">
                  <c:v>318</c:v>
                </c:pt>
                <c:pt idx="37">
                  <c:v>198</c:v>
                </c:pt>
                <c:pt idx="38">
                  <c:v>149</c:v>
                </c:pt>
                <c:pt idx="39">
                  <c:v>210</c:v>
                </c:pt>
                <c:pt idx="40">
                  <c:v>187</c:v>
                </c:pt>
                <c:pt idx="41">
                  <c:v>225</c:v>
                </c:pt>
                <c:pt idx="42">
                  <c:v>123</c:v>
                </c:pt>
                <c:pt idx="43">
                  <c:v>263</c:v>
                </c:pt>
                <c:pt idx="44">
                  <c:v>238</c:v>
                </c:pt>
                <c:pt idx="45">
                  <c:v>146</c:v>
                </c:pt>
                <c:pt idx="46">
                  <c:v>349</c:v>
                </c:pt>
                <c:pt idx="47">
                  <c:v>147</c:v>
                </c:pt>
                <c:pt idx="48">
                  <c:v>151</c:v>
                </c:pt>
                <c:pt idx="49">
                  <c:v>429</c:v>
                </c:pt>
                <c:pt idx="50">
                  <c:v>441</c:v>
                </c:pt>
                <c:pt idx="51">
                  <c:v>144</c:v>
                </c:pt>
                <c:pt idx="52">
                  <c:v>136</c:v>
                </c:pt>
                <c:pt idx="53">
                  <c:v>305</c:v>
                </c:pt>
                <c:pt idx="54">
                  <c:v>425</c:v>
                </c:pt>
                <c:pt idx="55">
                  <c:v>176</c:v>
                </c:pt>
                <c:pt idx="56">
                  <c:v>169</c:v>
                </c:pt>
                <c:pt idx="57">
                  <c:v>207</c:v>
                </c:pt>
                <c:pt idx="58">
                  <c:v>244</c:v>
                </c:pt>
                <c:pt idx="59">
                  <c:v>536</c:v>
                </c:pt>
                <c:pt idx="60">
                  <c:v>476</c:v>
                </c:pt>
                <c:pt idx="61">
                  <c:v>360</c:v>
                </c:pt>
                <c:pt idx="62">
                  <c:v>1477</c:v>
                </c:pt>
                <c:pt idx="63">
                  <c:v>1265</c:v>
                </c:pt>
                <c:pt idx="64">
                  <c:v>328</c:v>
                </c:pt>
                <c:pt idx="65">
                  <c:v>246</c:v>
                </c:pt>
                <c:pt idx="66">
                  <c:v>325</c:v>
                </c:pt>
                <c:pt idx="67">
                  <c:v>94</c:v>
                </c:pt>
                <c:pt idx="68">
                  <c:v>428</c:v>
                </c:pt>
                <c:pt idx="69">
                  <c:v>188</c:v>
                </c:pt>
                <c:pt idx="70">
                  <c:v>274</c:v>
                </c:pt>
                <c:pt idx="71">
                  <c:v>860</c:v>
                </c:pt>
                <c:pt idx="72">
                  <c:v>729</c:v>
                </c:pt>
                <c:pt idx="73">
                  <c:v>174</c:v>
                </c:pt>
                <c:pt idx="74">
                  <c:v>308</c:v>
                </c:pt>
                <c:pt idx="75">
                  <c:v>308</c:v>
                </c:pt>
                <c:pt idx="76">
                  <c:v>342</c:v>
                </c:pt>
                <c:pt idx="77">
                  <c:v>229</c:v>
                </c:pt>
                <c:pt idx="78">
                  <c:v>392</c:v>
                </c:pt>
                <c:pt idx="79">
                  <c:v>322</c:v>
                </c:pt>
                <c:pt idx="80">
                  <c:v>257</c:v>
                </c:pt>
                <c:pt idx="81">
                  <c:v>286</c:v>
                </c:pt>
                <c:pt idx="82">
                  <c:v>180</c:v>
                </c:pt>
                <c:pt idx="83">
                  <c:v>230</c:v>
                </c:pt>
                <c:pt idx="84">
                  <c:v>221</c:v>
                </c:pt>
                <c:pt idx="85">
                  <c:v>316</c:v>
                </c:pt>
                <c:pt idx="86">
                  <c:v>245</c:v>
                </c:pt>
                <c:pt idx="87">
                  <c:v>266</c:v>
                </c:pt>
                <c:pt idx="88">
                  <c:v>325</c:v>
                </c:pt>
                <c:pt idx="89">
                  <c:v>393</c:v>
                </c:pt>
                <c:pt idx="90">
                  <c:v>256</c:v>
                </c:pt>
                <c:pt idx="91">
                  <c:v>184</c:v>
                </c:pt>
                <c:pt idx="92">
                  <c:v>427</c:v>
                </c:pt>
                <c:pt idx="93">
                  <c:v>418</c:v>
                </c:pt>
                <c:pt idx="94">
                  <c:v>219</c:v>
                </c:pt>
                <c:pt idx="95">
                  <c:v>220</c:v>
                </c:pt>
                <c:pt idx="96">
                  <c:v>481</c:v>
                </c:pt>
                <c:pt idx="97">
                  <c:v>280</c:v>
                </c:pt>
                <c:pt idx="98">
                  <c:v>568</c:v>
                </c:pt>
                <c:pt idx="99">
                  <c:v>318</c:v>
                </c:pt>
                <c:pt idx="100">
                  <c:v>556</c:v>
                </c:pt>
                <c:pt idx="101">
                  <c:v>538</c:v>
                </c:pt>
                <c:pt idx="102">
                  <c:v>318</c:v>
                </c:pt>
                <c:pt idx="103">
                  <c:v>680</c:v>
                </c:pt>
                <c:pt idx="104">
                  <c:v>202</c:v>
                </c:pt>
                <c:pt idx="105">
                  <c:v>579</c:v>
                </c:pt>
                <c:pt idx="106">
                  <c:v>524</c:v>
                </c:pt>
                <c:pt idx="107">
                  <c:v>560</c:v>
                </c:pt>
                <c:pt idx="108">
                  <c:v>362</c:v>
                </c:pt>
                <c:pt idx="109">
                  <c:v>417</c:v>
                </c:pt>
                <c:pt idx="110">
                  <c:v>474</c:v>
                </c:pt>
                <c:pt idx="111">
                  <c:v>146</c:v>
                </c:pt>
                <c:pt idx="112">
                  <c:v>312</c:v>
                </c:pt>
                <c:pt idx="113">
                  <c:v>491</c:v>
                </c:pt>
                <c:pt idx="114">
                  <c:v>204</c:v>
                </c:pt>
                <c:pt idx="115">
                  <c:v>245</c:v>
                </c:pt>
                <c:pt idx="116">
                  <c:v>197</c:v>
                </c:pt>
                <c:pt idx="117">
                  <c:v>195</c:v>
                </c:pt>
                <c:pt idx="118">
                  <c:v>124</c:v>
                </c:pt>
                <c:pt idx="119">
                  <c:v>156</c:v>
                </c:pt>
                <c:pt idx="120">
                  <c:v>256</c:v>
                </c:pt>
                <c:pt idx="121">
                  <c:v>284</c:v>
                </c:pt>
                <c:pt idx="122">
                  <c:v>128</c:v>
                </c:pt>
                <c:pt idx="123">
                  <c:v>337</c:v>
                </c:pt>
                <c:pt idx="124">
                  <c:v>139</c:v>
                </c:pt>
                <c:pt idx="125">
                  <c:v>240</c:v>
                </c:pt>
                <c:pt idx="126">
                  <c:v>249</c:v>
                </c:pt>
                <c:pt idx="127">
                  <c:v>107</c:v>
                </c:pt>
                <c:pt idx="128">
                  <c:v>147</c:v>
                </c:pt>
                <c:pt idx="129">
                  <c:v>246</c:v>
                </c:pt>
                <c:pt idx="130">
                  <c:v>169</c:v>
                </c:pt>
                <c:pt idx="131">
                  <c:v>174</c:v>
                </c:pt>
                <c:pt idx="132">
                  <c:v>203</c:v>
                </c:pt>
                <c:pt idx="133">
                  <c:v>240</c:v>
                </c:pt>
                <c:pt idx="134">
                  <c:v>389</c:v>
                </c:pt>
                <c:pt idx="135">
                  <c:v>312</c:v>
                </c:pt>
                <c:pt idx="136">
                  <c:v>111</c:v>
                </c:pt>
                <c:pt idx="137">
                  <c:v>169</c:v>
                </c:pt>
                <c:pt idx="138">
                  <c:v>201</c:v>
                </c:pt>
                <c:pt idx="139">
                  <c:v>242</c:v>
                </c:pt>
                <c:pt idx="140">
                  <c:v>158</c:v>
                </c:pt>
                <c:pt idx="141">
                  <c:v>246</c:v>
                </c:pt>
                <c:pt idx="142">
                  <c:v>207</c:v>
                </c:pt>
                <c:pt idx="143">
                  <c:v>224</c:v>
                </c:pt>
                <c:pt idx="144">
                  <c:v>139</c:v>
                </c:pt>
                <c:pt idx="145">
                  <c:v>325</c:v>
                </c:pt>
                <c:pt idx="146">
                  <c:v>283</c:v>
                </c:pt>
                <c:pt idx="147">
                  <c:v>192</c:v>
                </c:pt>
                <c:pt idx="148">
                  <c:v>307</c:v>
                </c:pt>
                <c:pt idx="149">
                  <c:v>180</c:v>
                </c:pt>
                <c:pt idx="150">
                  <c:v>260</c:v>
                </c:pt>
                <c:pt idx="151">
                  <c:v>232</c:v>
                </c:pt>
                <c:pt idx="152">
                  <c:v>292</c:v>
                </c:pt>
                <c:pt idx="153">
                  <c:v>169</c:v>
                </c:pt>
                <c:pt idx="154">
                  <c:v>189</c:v>
                </c:pt>
                <c:pt idx="155">
                  <c:v>289</c:v>
                </c:pt>
                <c:pt idx="156">
                  <c:v>239</c:v>
                </c:pt>
                <c:pt idx="157">
                  <c:v>278</c:v>
                </c:pt>
                <c:pt idx="158">
                  <c:v>183</c:v>
                </c:pt>
                <c:pt idx="159">
                  <c:v>237</c:v>
                </c:pt>
                <c:pt idx="160">
                  <c:v>297</c:v>
                </c:pt>
                <c:pt idx="161">
                  <c:v>360</c:v>
                </c:pt>
                <c:pt idx="162">
                  <c:v>209</c:v>
                </c:pt>
                <c:pt idx="163">
                  <c:v>265</c:v>
                </c:pt>
                <c:pt idx="164">
                  <c:v>435</c:v>
                </c:pt>
                <c:pt idx="165">
                  <c:v>487</c:v>
                </c:pt>
                <c:pt idx="166">
                  <c:v>231</c:v>
                </c:pt>
                <c:pt idx="167">
                  <c:v>199</c:v>
                </c:pt>
                <c:pt idx="168">
                  <c:v>490</c:v>
                </c:pt>
                <c:pt idx="169">
                  <c:v>538</c:v>
                </c:pt>
                <c:pt idx="170">
                  <c:v>288</c:v>
                </c:pt>
                <c:pt idx="171">
                  <c:v>415</c:v>
                </c:pt>
                <c:pt idx="172">
                  <c:v>387</c:v>
                </c:pt>
                <c:pt idx="173">
                  <c:v>575</c:v>
                </c:pt>
                <c:pt idx="174">
                  <c:v>228</c:v>
                </c:pt>
                <c:pt idx="175">
                  <c:v>337</c:v>
                </c:pt>
                <c:pt idx="176">
                  <c:v>154</c:v>
                </c:pt>
                <c:pt idx="177">
                  <c:v>432</c:v>
                </c:pt>
                <c:pt idx="178">
                  <c:v>104</c:v>
                </c:pt>
                <c:pt idx="179">
                  <c:v>200</c:v>
                </c:pt>
                <c:pt idx="180">
                  <c:v>428</c:v>
                </c:pt>
                <c:pt idx="181">
                  <c:v>576</c:v>
                </c:pt>
                <c:pt idx="182">
                  <c:v>560</c:v>
                </c:pt>
                <c:pt idx="183">
                  <c:v>288</c:v>
                </c:pt>
                <c:pt idx="184">
                  <c:v>373</c:v>
                </c:pt>
                <c:pt idx="185">
                  <c:v>420</c:v>
                </c:pt>
                <c:pt idx="186">
                  <c:v>593</c:v>
                </c:pt>
                <c:pt idx="187">
                  <c:v>436</c:v>
                </c:pt>
                <c:pt idx="188">
                  <c:v>426</c:v>
                </c:pt>
                <c:pt idx="189">
                  <c:v>142</c:v>
                </c:pt>
                <c:pt idx="190">
                  <c:v>621</c:v>
                </c:pt>
                <c:pt idx="191">
                  <c:v>535</c:v>
                </c:pt>
                <c:pt idx="192">
                  <c:v>196</c:v>
                </c:pt>
                <c:pt idx="193">
                  <c:v>294</c:v>
                </c:pt>
                <c:pt idx="194">
                  <c:v>471</c:v>
                </c:pt>
                <c:pt idx="195">
                  <c:v>620</c:v>
                </c:pt>
                <c:pt idx="196">
                  <c:v>235</c:v>
                </c:pt>
                <c:pt idx="197">
                  <c:v>284</c:v>
                </c:pt>
                <c:pt idx="198">
                  <c:v>355</c:v>
                </c:pt>
                <c:pt idx="199">
                  <c:v>436</c:v>
                </c:pt>
                <c:pt idx="200">
                  <c:v>141</c:v>
                </c:pt>
                <c:pt idx="201">
                  <c:v>250</c:v>
                </c:pt>
                <c:pt idx="202">
                  <c:v>443</c:v>
                </c:pt>
                <c:pt idx="203">
                  <c:v>343</c:v>
                </c:pt>
                <c:pt idx="204">
                  <c:v>739</c:v>
                </c:pt>
                <c:pt idx="205">
                  <c:v>270</c:v>
                </c:pt>
                <c:pt idx="206">
                  <c:v>424</c:v>
                </c:pt>
                <c:pt idx="207">
                  <c:v>980</c:v>
                </c:pt>
                <c:pt idx="208">
                  <c:v>994</c:v>
                </c:pt>
                <c:pt idx="209">
                  <c:v>284</c:v>
                </c:pt>
                <c:pt idx="210">
                  <c:v>236</c:v>
                </c:pt>
                <c:pt idx="211">
                  <c:v>188</c:v>
                </c:pt>
                <c:pt idx="212">
                  <c:v>329</c:v>
                </c:pt>
                <c:pt idx="213">
                  <c:v>549</c:v>
                </c:pt>
                <c:pt idx="214">
                  <c:v>652</c:v>
                </c:pt>
                <c:pt idx="215">
                  <c:v>378</c:v>
                </c:pt>
                <c:pt idx="216">
                  <c:v>255</c:v>
                </c:pt>
                <c:pt idx="217">
                  <c:v>441</c:v>
                </c:pt>
                <c:pt idx="218">
                  <c:v>356</c:v>
                </c:pt>
                <c:pt idx="219">
                  <c:v>437</c:v>
                </c:pt>
                <c:pt idx="220">
                  <c:v>461</c:v>
                </c:pt>
                <c:pt idx="221">
                  <c:v>669</c:v>
                </c:pt>
                <c:pt idx="222">
                  <c:v>121</c:v>
                </c:pt>
                <c:pt idx="223">
                  <c:v>437</c:v>
                </c:pt>
                <c:pt idx="224">
                  <c:v>663</c:v>
                </c:pt>
                <c:pt idx="225">
                  <c:v>337</c:v>
                </c:pt>
                <c:pt idx="226">
                  <c:v>447</c:v>
                </c:pt>
                <c:pt idx="227">
                  <c:v>610</c:v>
                </c:pt>
                <c:pt idx="228">
                  <c:v>302</c:v>
                </c:pt>
                <c:pt idx="229">
                  <c:v>213</c:v>
                </c:pt>
                <c:pt idx="230">
                  <c:v>364</c:v>
                </c:pt>
                <c:pt idx="231">
                  <c:v>251</c:v>
                </c:pt>
                <c:pt idx="232">
                  <c:v>343</c:v>
                </c:pt>
                <c:pt idx="233">
                  <c:v>125</c:v>
                </c:pt>
                <c:pt idx="234">
                  <c:v>251</c:v>
                </c:pt>
                <c:pt idx="235">
                  <c:v>404</c:v>
                </c:pt>
                <c:pt idx="236">
                  <c:v>161</c:v>
                </c:pt>
                <c:pt idx="237">
                  <c:v>408</c:v>
                </c:pt>
                <c:pt idx="238">
                  <c:v>284</c:v>
                </c:pt>
                <c:pt idx="239">
                  <c:v>443</c:v>
                </c:pt>
                <c:pt idx="240">
                  <c:v>718</c:v>
                </c:pt>
                <c:pt idx="241">
                  <c:v>478</c:v>
                </c:pt>
                <c:pt idx="242">
                  <c:v>533</c:v>
                </c:pt>
                <c:pt idx="243">
                  <c:v>566</c:v>
                </c:pt>
              </c:numCache>
            </c:numRef>
          </c:xVal>
          <c:yVal>
            <c:numRef>
              <c:f>'1 - First Best-Fit Line'!$N$4:$N$247</c:f>
              <c:numCache>
                <c:formatCode>0.00%</c:formatCode>
                <c:ptCount val="244"/>
                <c:pt idx="0">
                  <c:v>0.16164400000000001</c:v>
                </c:pt>
                <c:pt idx="1">
                  <c:v>0.347945</c:v>
                </c:pt>
                <c:pt idx="2">
                  <c:v>0.39726</c:v>
                </c:pt>
                <c:pt idx="3">
                  <c:v>0.36438400000000004</c:v>
                </c:pt>
                <c:pt idx="4">
                  <c:v>0.41095900000000002</c:v>
                </c:pt>
                <c:pt idx="5">
                  <c:v>0.41095900000000002</c:v>
                </c:pt>
                <c:pt idx="6">
                  <c:v>0.52602700000000002</c:v>
                </c:pt>
                <c:pt idx="7">
                  <c:v>0.43287700000000001</c:v>
                </c:pt>
                <c:pt idx="8">
                  <c:v>0.69589000000000001</c:v>
                </c:pt>
                <c:pt idx="9">
                  <c:v>0.10958899999999999</c:v>
                </c:pt>
                <c:pt idx="10">
                  <c:v>0.22465800000000002</c:v>
                </c:pt>
                <c:pt idx="11">
                  <c:v>0.21917799999999998</c:v>
                </c:pt>
                <c:pt idx="12">
                  <c:v>0.39178099999999999</c:v>
                </c:pt>
                <c:pt idx="13">
                  <c:v>0.53698599999999996</c:v>
                </c:pt>
                <c:pt idx="14">
                  <c:v>0.51232900000000003</c:v>
                </c:pt>
                <c:pt idx="15">
                  <c:v>0.36164400000000002</c:v>
                </c:pt>
                <c:pt idx="16">
                  <c:v>0.84383600000000003</c:v>
                </c:pt>
                <c:pt idx="17">
                  <c:v>0.91506799999999999</c:v>
                </c:pt>
                <c:pt idx="18">
                  <c:v>0.43013699999999999</c:v>
                </c:pt>
                <c:pt idx="19">
                  <c:v>0.48219200000000001</c:v>
                </c:pt>
                <c:pt idx="20">
                  <c:v>0.49041099999999999</c:v>
                </c:pt>
                <c:pt idx="21">
                  <c:v>0.52328799999999998</c:v>
                </c:pt>
                <c:pt idx="22">
                  <c:v>0.44931500000000002</c:v>
                </c:pt>
                <c:pt idx="23">
                  <c:v>0.66027400000000003</c:v>
                </c:pt>
                <c:pt idx="24">
                  <c:v>0.48767099999999997</c:v>
                </c:pt>
                <c:pt idx="25">
                  <c:v>0.43835599999999997</c:v>
                </c:pt>
                <c:pt idx="26">
                  <c:v>0.53150699999999995</c:v>
                </c:pt>
                <c:pt idx="27">
                  <c:v>0.13972599999999999</c:v>
                </c:pt>
                <c:pt idx="28">
                  <c:v>0.46849299999999999</c:v>
                </c:pt>
                <c:pt idx="29">
                  <c:v>0.50136999999999998</c:v>
                </c:pt>
                <c:pt idx="30">
                  <c:v>0.30684899999999998</c:v>
                </c:pt>
                <c:pt idx="31">
                  <c:v>0.52054800000000001</c:v>
                </c:pt>
                <c:pt idx="32">
                  <c:v>0.12876699999999999</c:v>
                </c:pt>
                <c:pt idx="33">
                  <c:v>0.241096</c:v>
                </c:pt>
                <c:pt idx="34">
                  <c:v>0.45205499999999998</c:v>
                </c:pt>
                <c:pt idx="35">
                  <c:v>0.47945199999999999</c:v>
                </c:pt>
                <c:pt idx="36">
                  <c:v>0.271233</c:v>
                </c:pt>
                <c:pt idx="37">
                  <c:v>0.43013699999999999</c:v>
                </c:pt>
                <c:pt idx="38">
                  <c:v>0.56712300000000004</c:v>
                </c:pt>
                <c:pt idx="39">
                  <c:v>0.320548</c:v>
                </c:pt>
                <c:pt idx="40">
                  <c:v>0.44931500000000002</c:v>
                </c:pt>
                <c:pt idx="41">
                  <c:v>0.50958899999999996</c:v>
                </c:pt>
                <c:pt idx="42">
                  <c:v>0.72054799999999997</c:v>
                </c:pt>
                <c:pt idx="43">
                  <c:v>0.49589</c:v>
                </c:pt>
                <c:pt idx="44">
                  <c:v>0.44931500000000002</c:v>
                </c:pt>
                <c:pt idx="45">
                  <c:v>0.53150699999999995</c:v>
                </c:pt>
                <c:pt idx="46">
                  <c:v>0.15068500000000001</c:v>
                </c:pt>
                <c:pt idx="47">
                  <c:v>0.6</c:v>
                </c:pt>
                <c:pt idx="48">
                  <c:v>0.52602700000000002</c:v>
                </c:pt>
                <c:pt idx="49">
                  <c:v>0.21095900000000001</c:v>
                </c:pt>
                <c:pt idx="50">
                  <c:v>0.331507</c:v>
                </c:pt>
                <c:pt idx="51">
                  <c:v>0.32876699999999998</c:v>
                </c:pt>
                <c:pt idx="52">
                  <c:v>0.61917800000000001</c:v>
                </c:pt>
                <c:pt idx="53">
                  <c:v>0.271233</c:v>
                </c:pt>
                <c:pt idx="54">
                  <c:v>0.32876699999999998</c:v>
                </c:pt>
                <c:pt idx="55">
                  <c:v>0.41369900000000004</c:v>
                </c:pt>
                <c:pt idx="56">
                  <c:v>0.47945199999999999</c:v>
                </c:pt>
                <c:pt idx="57">
                  <c:v>0.63013699999999995</c:v>
                </c:pt>
                <c:pt idx="58">
                  <c:v>0.90410999999999997</c:v>
                </c:pt>
                <c:pt idx="59">
                  <c:v>0.542466</c:v>
                </c:pt>
                <c:pt idx="60">
                  <c:v>7.9451999999999995E-2</c:v>
                </c:pt>
                <c:pt idx="61">
                  <c:v>0.55068499999999998</c:v>
                </c:pt>
                <c:pt idx="62">
                  <c:v>0.69315099999999996</c:v>
                </c:pt>
                <c:pt idx="63">
                  <c:v>0.71506800000000004</c:v>
                </c:pt>
                <c:pt idx="64">
                  <c:v>0.52054800000000001</c:v>
                </c:pt>
                <c:pt idx="65">
                  <c:v>0.15890399999999999</c:v>
                </c:pt>
                <c:pt idx="66">
                  <c:v>0.54520499999999994</c:v>
                </c:pt>
                <c:pt idx="67">
                  <c:v>0.47945199999999999</c:v>
                </c:pt>
                <c:pt idx="68">
                  <c:v>0.58630099999999996</c:v>
                </c:pt>
                <c:pt idx="69">
                  <c:v>0.67945199999999994</c:v>
                </c:pt>
                <c:pt idx="70">
                  <c:v>0.57808199999999998</c:v>
                </c:pt>
                <c:pt idx="71">
                  <c:v>0.41095900000000002</c:v>
                </c:pt>
                <c:pt idx="72">
                  <c:v>0.68219200000000002</c:v>
                </c:pt>
                <c:pt idx="73">
                  <c:v>0.824658</c:v>
                </c:pt>
                <c:pt idx="74">
                  <c:v>0.21643799999999999</c:v>
                </c:pt>
                <c:pt idx="75">
                  <c:v>0.6</c:v>
                </c:pt>
                <c:pt idx="76">
                  <c:v>0.39178099999999999</c:v>
                </c:pt>
                <c:pt idx="77">
                  <c:v>0.58904100000000004</c:v>
                </c:pt>
                <c:pt idx="78">
                  <c:v>0.29315099999999999</c:v>
                </c:pt>
                <c:pt idx="79">
                  <c:v>0.271233</c:v>
                </c:pt>
                <c:pt idx="80">
                  <c:v>0.55068499999999998</c:v>
                </c:pt>
                <c:pt idx="81">
                  <c:v>0.45205499999999998</c:v>
                </c:pt>
                <c:pt idx="82">
                  <c:v>0.51780800000000005</c:v>
                </c:pt>
                <c:pt idx="83">
                  <c:v>0.52054800000000001</c:v>
                </c:pt>
                <c:pt idx="84">
                  <c:v>0.63013699999999995</c:v>
                </c:pt>
                <c:pt idx="85">
                  <c:v>0.369863</c:v>
                </c:pt>
                <c:pt idx="86">
                  <c:v>0.56986300000000001</c:v>
                </c:pt>
                <c:pt idx="87">
                  <c:v>0.419178</c:v>
                </c:pt>
                <c:pt idx="88">
                  <c:v>0.454795</c:v>
                </c:pt>
                <c:pt idx="89">
                  <c:v>0.62191799999999997</c:v>
                </c:pt>
                <c:pt idx="90">
                  <c:v>0.70958900000000003</c:v>
                </c:pt>
                <c:pt idx="91">
                  <c:v>0.309589</c:v>
                </c:pt>
                <c:pt idx="92">
                  <c:v>0.241096</c:v>
                </c:pt>
                <c:pt idx="93">
                  <c:v>4.6574999999999998E-2</c:v>
                </c:pt>
                <c:pt idx="94">
                  <c:v>0.63561599999999996</c:v>
                </c:pt>
                <c:pt idx="95">
                  <c:v>0.43013699999999999</c:v>
                </c:pt>
                <c:pt idx="96">
                  <c:v>0.38082199999999999</c:v>
                </c:pt>
                <c:pt idx="97">
                  <c:v>0.457534</c:v>
                </c:pt>
                <c:pt idx="98">
                  <c:v>0.18904099999999999</c:v>
                </c:pt>
                <c:pt idx="99">
                  <c:v>0.29041099999999997</c:v>
                </c:pt>
                <c:pt idx="100">
                  <c:v>0.29863000000000001</c:v>
                </c:pt>
                <c:pt idx="101">
                  <c:v>0.58082199999999995</c:v>
                </c:pt>
                <c:pt idx="102">
                  <c:v>0.39178099999999999</c:v>
                </c:pt>
                <c:pt idx="103">
                  <c:v>0.38630100000000001</c:v>
                </c:pt>
                <c:pt idx="104">
                  <c:v>0.48767099999999997</c:v>
                </c:pt>
                <c:pt idx="105">
                  <c:v>0.41095900000000002</c:v>
                </c:pt>
                <c:pt idx="106">
                  <c:v>0.50411000000000006</c:v>
                </c:pt>
                <c:pt idx="107">
                  <c:v>0.27671200000000001</c:v>
                </c:pt>
                <c:pt idx="108">
                  <c:v>0.32876699999999998</c:v>
                </c:pt>
                <c:pt idx="109">
                  <c:v>0.53150699999999995</c:v>
                </c:pt>
                <c:pt idx="110">
                  <c:v>0.42739699999999997</c:v>
                </c:pt>
                <c:pt idx="111">
                  <c:v>0.241096</c:v>
                </c:pt>
                <c:pt idx="112">
                  <c:v>0.41095900000000002</c:v>
                </c:pt>
                <c:pt idx="113">
                  <c:v>0.39726</c:v>
                </c:pt>
                <c:pt idx="114">
                  <c:v>0.79725999999999997</c:v>
                </c:pt>
                <c:pt idx="115">
                  <c:v>0.68767100000000003</c:v>
                </c:pt>
                <c:pt idx="116">
                  <c:v>0.58904100000000004</c:v>
                </c:pt>
                <c:pt idx="117">
                  <c:v>0.61917800000000001</c:v>
                </c:pt>
                <c:pt idx="118">
                  <c:v>0.454795</c:v>
                </c:pt>
                <c:pt idx="119">
                  <c:v>0.48767099999999997</c:v>
                </c:pt>
                <c:pt idx="120">
                  <c:v>0.47945199999999999</c:v>
                </c:pt>
                <c:pt idx="121">
                  <c:v>0.49315100000000001</c:v>
                </c:pt>
                <c:pt idx="122">
                  <c:v>0.36164400000000002</c:v>
                </c:pt>
                <c:pt idx="123">
                  <c:v>0.42191800000000002</c:v>
                </c:pt>
                <c:pt idx="124">
                  <c:v>0.74246599999999996</c:v>
                </c:pt>
                <c:pt idx="125">
                  <c:v>0.369863</c:v>
                </c:pt>
                <c:pt idx="126">
                  <c:v>0.44109599999999999</c:v>
                </c:pt>
                <c:pt idx="127">
                  <c:v>0.47945199999999999</c:v>
                </c:pt>
                <c:pt idx="128">
                  <c:v>0.41369900000000004</c:v>
                </c:pt>
                <c:pt idx="129">
                  <c:v>0.44383600000000001</c:v>
                </c:pt>
                <c:pt idx="130">
                  <c:v>0.61917800000000001</c:v>
                </c:pt>
                <c:pt idx="131">
                  <c:v>0.54794500000000002</c:v>
                </c:pt>
                <c:pt idx="132">
                  <c:v>0.271233</c:v>
                </c:pt>
                <c:pt idx="133">
                  <c:v>0.76164399999999999</c:v>
                </c:pt>
                <c:pt idx="134">
                  <c:v>0.51232900000000003</c:v>
                </c:pt>
                <c:pt idx="135">
                  <c:v>0.60821899999999995</c:v>
                </c:pt>
                <c:pt idx="136">
                  <c:v>0.61095900000000003</c:v>
                </c:pt>
                <c:pt idx="137">
                  <c:v>0.30684899999999998</c:v>
                </c:pt>
                <c:pt idx="138">
                  <c:v>0.52328799999999998</c:v>
                </c:pt>
                <c:pt idx="139">
                  <c:v>0.48219200000000001</c:v>
                </c:pt>
                <c:pt idx="140">
                  <c:v>0.221918</c:v>
                </c:pt>
                <c:pt idx="141">
                  <c:v>0.38904099999999997</c:v>
                </c:pt>
                <c:pt idx="142">
                  <c:v>0.41643799999999997</c:v>
                </c:pt>
                <c:pt idx="143">
                  <c:v>0.48493200000000003</c:v>
                </c:pt>
                <c:pt idx="144">
                  <c:v>0.55068499999999998</c:v>
                </c:pt>
                <c:pt idx="145">
                  <c:v>0.816438</c:v>
                </c:pt>
                <c:pt idx="146">
                  <c:v>0.29315099999999999</c:v>
                </c:pt>
                <c:pt idx="147">
                  <c:v>0.50136999999999998</c:v>
                </c:pt>
                <c:pt idx="148">
                  <c:v>0.30137000000000003</c:v>
                </c:pt>
                <c:pt idx="149">
                  <c:v>0.34246599999999999</c:v>
                </c:pt>
                <c:pt idx="150">
                  <c:v>0.6</c:v>
                </c:pt>
                <c:pt idx="151">
                  <c:v>0.49863000000000002</c:v>
                </c:pt>
                <c:pt idx="152">
                  <c:v>0.63835600000000003</c:v>
                </c:pt>
                <c:pt idx="153">
                  <c:v>0.29041099999999997</c:v>
                </c:pt>
                <c:pt idx="154">
                  <c:v>0.53972600000000004</c:v>
                </c:pt>
                <c:pt idx="155">
                  <c:v>0.27945199999999998</c:v>
                </c:pt>
                <c:pt idx="156">
                  <c:v>0.67671199999999998</c:v>
                </c:pt>
                <c:pt idx="157">
                  <c:v>0.38904099999999997</c:v>
                </c:pt>
                <c:pt idx="158">
                  <c:v>0.57534200000000002</c:v>
                </c:pt>
                <c:pt idx="159">
                  <c:v>0.31232900000000002</c:v>
                </c:pt>
                <c:pt idx="160">
                  <c:v>0.45205499999999998</c:v>
                </c:pt>
                <c:pt idx="161">
                  <c:v>0.53150699999999995</c:v>
                </c:pt>
                <c:pt idx="162">
                  <c:v>0.53972600000000004</c:v>
                </c:pt>
                <c:pt idx="163">
                  <c:v>0.40273999999999999</c:v>
                </c:pt>
                <c:pt idx="164">
                  <c:v>0.4</c:v>
                </c:pt>
                <c:pt idx="165">
                  <c:v>0.43013699999999999</c:v>
                </c:pt>
                <c:pt idx="166">
                  <c:v>0.40273999999999999</c:v>
                </c:pt>
                <c:pt idx="167">
                  <c:v>0.31232900000000002</c:v>
                </c:pt>
                <c:pt idx="168">
                  <c:v>0.23013700000000001</c:v>
                </c:pt>
                <c:pt idx="169">
                  <c:v>0.6</c:v>
                </c:pt>
                <c:pt idx="170">
                  <c:v>0.232877</c:v>
                </c:pt>
                <c:pt idx="171">
                  <c:v>0.408219</c:v>
                </c:pt>
                <c:pt idx="172">
                  <c:v>0.32602700000000001</c:v>
                </c:pt>
                <c:pt idx="173">
                  <c:v>0.38904099999999997</c:v>
                </c:pt>
                <c:pt idx="174">
                  <c:v>0.52054800000000001</c:v>
                </c:pt>
                <c:pt idx="175">
                  <c:v>0.46301400000000004</c:v>
                </c:pt>
                <c:pt idx="176">
                  <c:v>0.67945199999999994</c:v>
                </c:pt>
                <c:pt idx="177">
                  <c:v>0.68219200000000002</c:v>
                </c:pt>
                <c:pt idx="178">
                  <c:v>0.56986300000000001</c:v>
                </c:pt>
                <c:pt idx="179">
                  <c:v>0.86849299999999996</c:v>
                </c:pt>
                <c:pt idx="180">
                  <c:v>0.52328799999999998</c:v>
                </c:pt>
                <c:pt idx="181">
                  <c:v>0.46027400000000002</c:v>
                </c:pt>
                <c:pt idx="182">
                  <c:v>0.35342499999999999</c:v>
                </c:pt>
                <c:pt idx="183">
                  <c:v>0.49863000000000002</c:v>
                </c:pt>
                <c:pt idx="184">
                  <c:v>0.51506799999999997</c:v>
                </c:pt>
                <c:pt idx="185">
                  <c:v>0.87123300000000004</c:v>
                </c:pt>
                <c:pt idx="186">
                  <c:v>0.50684899999999999</c:v>
                </c:pt>
                <c:pt idx="187">
                  <c:v>0.282192</c:v>
                </c:pt>
                <c:pt idx="188">
                  <c:v>0.542466</c:v>
                </c:pt>
                <c:pt idx="189">
                  <c:v>8.2192000000000001E-2</c:v>
                </c:pt>
                <c:pt idx="190">
                  <c:v>0.347945</c:v>
                </c:pt>
                <c:pt idx="191">
                  <c:v>0.47671199999999997</c:v>
                </c:pt>
                <c:pt idx="192">
                  <c:v>0.77808199999999994</c:v>
                </c:pt>
                <c:pt idx="193">
                  <c:v>0.39726</c:v>
                </c:pt>
                <c:pt idx="194">
                  <c:v>0.6</c:v>
                </c:pt>
                <c:pt idx="195">
                  <c:v>0.29315099999999999</c:v>
                </c:pt>
                <c:pt idx="196">
                  <c:v>0.641096</c:v>
                </c:pt>
                <c:pt idx="197">
                  <c:v>0.50411000000000006</c:v>
                </c:pt>
                <c:pt idx="198">
                  <c:v>0.40273999999999999</c:v>
                </c:pt>
                <c:pt idx="199">
                  <c:v>0.50684899999999999</c:v>
                </c:pt>
                <c:pt idx="200">
                  <c:v>0.54794500000000002</c:v>
                </c:pt>
                <c:pt idx="201">
                  <c:v>0.369863</c:v>
                </c:pt>
                <c:pt idx="202">
                  <c:v>0.23561599999999999</c:v>
                </c:pt>
                <c:pt idx="203">
                  <c:v>0.58082199999999995</c:v>
                </c:pt>
                <c:pt idx="204">
                  <c:v>1.9178000000000001E-2</c:v>
                </c:pt>
                <c:pt idx="205">
                  <c:v>0.46849299999999999</c:v>
                </c:pt>
                <c:pt idx="206">
                  <c:v>0.34246599999999999</c:v>
                </c:pt>
                <c:pt idx="207">
                  <c:v>0.271233</c:v>
                </c:pt>
                <c:pt idx="208">
                  <c:v>0.43013699999999999</c:v>
                </c:pt>
                <c:pt idx="209">
                  <c:v>0.60547899999999999</c:v>
                </c:pt>
                <c:pt idx="210">
                  <c:v>0.56712300000000004</c:v>
                </c:pt>
                <c:pt idx="211">
                  <c:v>0.61917800000000001</c:v>
                </c:pt>
                <c:pt idx="212">
                  <c:v>0.70411000000000001</c:v>
                </c:pt>
                <c:pt idx="213">
                  <c:v>0.44383600000000001</c:v>
                </c:pt>
                <c:pt idx="214">
                  <c:v>0.446575</c:v>
                </c:pt>
                <c:pt idx="215">
                  <c:v>0.42191800000000002</c:v>
                </c:pt>
                <c:pt idx="216">
                  <c:v>0.591781</c:v>
                </c:pt>
                <c:pt idx="217">
                  <c:v>0.57260299999999997</c:v>
                </c:pt>
                <c:pt idx="218">
                  <c:v>0.42465800000000004</c:v>
                </c:pt>
                <c:pt idx="219">
                  <c:v>7.9451999999999995E-2</c:v>
                </c:pt>
                <c:pt idx="220">
                  <c:v>0.31780799999999998</c:v>
                </c:pt>
                <c:pt idx="221">
                  <c:v>0.31232900000000002</c:v>
                </c:pt>
                <c:pt idx="222">
                  <c:v>0.39726</c:v>
                </c:pt>
                <c:pt idx="223">
                  <c:v>0.61095900000000003</c:v>
                </c:pt>
                <c:pt idx="224">
                  <c:v>0.232877</c:v>
                </c:pt>
                <c:pt idx="225">
                  <c:v>0.50684899999999999</c:v>
                </c:pt>
                <c:pt idx="226">
                  <c:v>0.61643800000000004</c:v>
                </c:pt>
                <c:pt idx="227">
                  <c:v>0.10137</c:v>
                </c:pt>
                <c:pt idx="228">
                  <c:v>0.31506799999999996</c:v>
                </c:pt>
                <c:pt idx="229">
                  <c:v>0.65205500000000005</c:v>
                </c:pt>
                <c:pt idx="230">
                  <c:v>0.51232900000000003</c:v>
                </c:pt>
                <c:pt idx="231">
                  <c:v>0.62739699999999998</c:v>
                </c:pt>
                <c:pt idx="232">
                  <c:v>0.39726</c:v>
                </c:pt>
                <c:pt idx="233">
                  <c:v>0.37534200000000001</c:v>
                </c:pt>
                <c:pt idx="234">
                  <c:v>0.33424700000000002</c:v>
                </c:pt>
                <c:pt idx="235">
                  <c:v>0.36164400000000002</c:v>
                </c:pt>
                <c:pt idx="236">
                  <c:v>0.26575299999999996</c:v>
                </c:pt>
                <c:pt idx="237">
                  <c:v>0.38630100000000001</c:v>
                </c:pt>
                <c:pt idx="238">
                  <c:v>0.31506799999999996</c:v>
                </c:pt>
                <c:pt idx="239">
                  <c:v>0.55616399999999999</c:v>
                </c:pt>
                <c:pt idx="240">
                  <c:v>0.44931500000000002</c:v>
                </c:pt>
                <c:pt idx="241">
                  <c:v>0.31780799999999998</c:v>
                </c:pt>
                <c:pt idx="242">
                  <c:v>0.51232900000000003</c:v>
                </c:pt>
                <c:pt idx="243">
                  <c:v>0.369863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2048"/>
        <c:axId val="157923584"/>
      </c:scatterChart>
      <c:valAx>
        <c:axId val="157922048"/>
        <c:scaling>
          <c:orientation val="minMax"/>
        </c:scaling>
        <c:delete val="0"/>
        <c:axPos val="b"/>
        <c:numFmt formatCode="&quot;$&quot;#,##0.00" sourceLinked="1"/>
        <c:majorTickMark val="out"/>
        <c:minorTickMark val="none"/>
        <c:tickLblPos val="nextTo"/>
        <c:crossAx val="157923584"/>
        <c:crosses val="autoZero"/>
        <c:crossBetween val="midCat"/>
      </c:valAx>
      <c:valAx>
        <c:axId val="157923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57922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'1 - First Best-Fit Line'!$M$4:$M$247</c:f>
              <c:numCache>
                <c:formatCode>#,##0.00</c:formatCode>
                <c:ptCount val="244"/>
                <c:pt idx="0">
                  <c:v>0.79743589743589749</c:v>
                </c:pt>
                <c:pt idx="1">
                  <c:v>0.56315789473684208</c:v>
                </c:pt>
                <c:pt idx="2">
                  <c:v>0.52071713147410359</c:v>
                </c:pt>
                <c:pt idx="3">
                  <c:v>0.37943661971830989</c:v>
                </c:pt>
                <c:pt idx="4">
                  <c:v>0.52020202020202022</c:v>
                </c:pt>
                <c:pt idx="5">
                  <c:v>0.4207207207207207</c:v>
                </c:pt>
                <c:pt idx="6">
                  <c:v>0.42036199095022625</c:v>
                </c:pt>
                <c:pt idx="7">
                  <c:v>0.69944903581267215</c:v>
                </c:pt>
                <c:pt idx="8">
                  <c:v>0.30994035785288271</c:v>
                </c:pt>
                <c:pt idx="9">
                  <c:v>0.58993288590604032</c:v>
                </c:pt>
                <c:pt idx="10">
                  <c:v>0.50030840400925214</c:v>
                </c:pt>
                <c:pt idx="11">
                  <c:v>0.38932038834951455</c:v>
                </c:pt>
                <c:pt idx="12">
                  <c:v>0.5</c:v>
                </c:pt>
                <c:pt idx="13">
                  <c:v>0.40943396226415096</c:v>
                </c:pt>
                <c:pt idx="14">
                  <c:v>0.39985528219971056</c:v>
                </c:pt>
                <c:pt idx="15">
                  <c:v>0.65935999999999995</c:v>
                </c:pt>
                <c:pt idx="16">
                  <c:v>0.25064935064935062</c:v>
                </c:pt>
                <c:pt idx="17">
                  <c:v>0.3</c:v>
                </c:pt>
                <c:pt idx="18">
                  <c:v>0.6206779661016949</c:v>
                </c:pt>
                <c:pt idx="19">
                  <c:v>0.48918918918918919</c:v>
                </c:pt>
                <c:pt idx="20">
                  <c:v>0.55034965034965033</c:v>
                </c:pt>
                <c:pt idx="21">
                  <c:v>0.54065573770491804</c:v>
                </c:pt>
                <c:pt idx="22">
                  <c:v>0.64984126984126989</c:v>
                </c:pt>
                <c:pt idx="23">
                  <c:v>0.3</c:v>
                </c:pt>
                <c:pt idx="24">
                  <c:v>0.5391111111111111</c:v>
                </c:pt>
                <c:pt idx="25">
                  <c:v>0.52553191489361706</c:v>
                </c:pt>
                <c:pt idx="26">
                  <c:v>0.46721311475409838</c:v>
                </c:pt>
                <c:pt idx="27">
                  <c:v>0.83086419753086416</c:v>
                </c:pt>
                <c:pt idx="28">
                  <c:v>0.56046511627906981</c:v>
                </c:pt>
                <c:pt idx="29">
                  <c:v>0.46030534351145036</c:v>
                </c:pt>
                <c:pt idx="30">
                  <c:v>0.62115384615384617</c:v>
                </c:pt>
                <c:pt idx="31">
                  <c:v>0.59863013698630141</c:v>
                </c:pt>
                <c:pt idx="32">
                  <c:v>0.79921259842519687</c:v>
                </c:pt>
                <c:pt idx="33">
                  <c:v>0.67854671280276813</c:v>
                </c:pt>
                <c:pt idx="34">
                  <c:v>0.36666666666666664</c:v>
                </c:pt>
                <c:pt idx="35">
                  <c:v>0.62052401746724895</c:v>
                </c:pt>
                <c:pt idx="36">
                  <c:v>0.74</c:v>
                </c:pt>
                <c:pt idx="37">
                  <c:v>0.60909090909090913</c:v>
                </c:pt>
                <c:pt idx="38">
                  <c:v>0.39677419354838711</c:v>
                </c:pt>
                <c:pt idx="39">
                  <c:v>0.58842105263157896</c:v>
                </c:pt>
                <c:pt idx="40">
                  <c:v>0.40163934426229508</c:v>
                </c:pt>
                <c:pt idx="41">
                  <c:v>0.44649681528662422</c:v>
                </c:pt>
                <c:pt idx="42">
                  <c:v>0.46363636363636362</c:v>
                </c:pt>
                <c:pt idx="43">
                  <c:v>0.39779179810725551</c:v>
                </c:pt>
                <c:pt idx="44">
                  <c:v>0.43777777777777777</c:v>
                </c:pt>
                <c:pt idx="45">
                  <c:v>0.36845637583892615</c:v>
                </c:pt>
                <c:pt idx="46">
                  <c:v>0.71123595505617976</c:v>
                </c:pt>
                <c:pt idx="47">
                  <c:v>0.43103448275862066</c:v>
                </c:pt>
                <c:pt idx="48">
                  <c:v>0.46470588235294119</c:v>
                </c:pt>
                <c:pt idx="49">
                  <c:v>0.68761061946902657</c:v>
                </c:pt>
                <c:pt idx="50">
                  <c:v>0.60778443113772451</c:v>
                </c:pt>
                <c:pt idx="51">
                  <c:v>0.47938144329896909</c:v>
                </c:pt>
                <c:pt idx="52">
                  <c:v>0.35792349726775957</c:v>
                </c:pt>
                <c:pt idx="53">
                  <c:v>0.8087248322147651</c:v>
                </c:pt>
                <c:pt idx="54">
                  <c:v>0.77986348122866889</c:v>
                </c:pt>
                <c:pt idx="55">
                  <c:v>0.62173913043478257</c:v>
                </c:pt>
                <c:pt idx="56">
                  <c:v>0.38121212121212122</c:v>
                </c:pt>
                <c:pt idx="57">
                  <c:v>0.5295302013422819</c:v>
                </c:pt>
                <c:pt idx="58">
                  <c:v>0.21069182389937108</c:v>
                </c:pt>
                <c:pt idx="59">
                  <c:v>0.41007751937984493</c:v>
                </c:pt>
                <c:pt idx="60">
                  <c:v>0.9</c:v>
                </c:pt>
                <c:pt idx="61">
                  <c:v>0.38936170212765958</c:v>
                </c:pt>
                <c:pt idx="62">
                  <c:v>0.59</c:v>
                </c:pt>
                <c:pt idx="63">
                  <c:v>0.38990662516674079</c:v>
                </c:pt>
                <c:pt idx="64">
                  <c:v>0.40833333333333333</c:v>
                </c:pt>
                <c:pt idx="65">
                  <c:v>0.39913043478260868</c:v>
                </c:pt>
                <c:pt idx="66">
                  <c:v>0.38148148148148148</c:v>
                </c:pt>
                <c:pt idx="67">
                  <c:v>0.36875000000000002</c:v>
                </c:pt>
                <c:pt idx="68">
                  <c:v>0.43015873015873018</c:v>
                </c:pt>
                <c:pt idx="69">
                  <c:v>0.31946902654867254</c:v>
                </c:pt>
                <c:pt idx="70">
                  <c:v>0.42124352331606219</c:v>
                </c:pt>
                <c:pt idx="71">
                  <c:v>0.51042524005486967</c:v>
                </c:pt>
                <c:pt idx="72">
                  <c:v>0.25026455026455025</c:v>
                </c:pt>
                <c:pt idx="73">
                  <c:v>0.16956521739130434</c:v>
                </c:pt>
                <c:pt idx="74">
                  <c:v>0.67142857142857137</c:v>
                </c:pt>
                <c:pt idx="75">
                  <c:v>0.56197183098591552</c:v>
                </c:pt>
                <c:pt idx="76">
                  <c:v>0.4188811188811189</c:v>
                </c:pt>
                <c:pt idx="77">
                  <c:v>0.53984063745019917</c:v>
                </c:pt>
                <c:pt idx="78">
                  <c:v>0.52941176470588236</c:v>
                </c:pt>
                <c:pt idx="79">
                  <c:v>0.65</c:v>
                </c:pt>
                <c:pt idx="80">
                  <c:v>0.34070796460176989</c:v>
                </c:pt>
                <c:pt idx="81">
                  <c:v>0.55000000000000004</c:v>
                </c:pt>
                <c:pt idx="82">
                  <c:v>0.49036144578313251</c:v>
                </c:pt>
                <c:pt idx="83">
                  <c:v>0.56060606060606055</c:v>
                </c:pt>
                <c:pt idx="84">
                  <c:v>0.19117647058823528</c:v>
                </c:pt>
                <c:pt idx="85">
                  <c:v>0.53106796116504851</c:v>
                </c:pt>
                <c:pt idx="86">
                  <c:v>0.45041322314049587</c:v>
                </c:pt>
                <c:pt idx="87">
                  <c:v>0.4587878787878788</c:v>
                </c:pt>
                <c:pt idx="88">
                  <c:v>0.49856630824372761</c:v>
                </c:pt>
                <c:pt idx="89">
                  <c:v>0.50902255639097749</c:v>
                </c:pt>
                <c:pt idx="90">
                  <c:v>0.3523489932885906</c:v>
                </c:pt>
                <c:pt idx="91">
                  <c:v>0.64095238095238094</c:v>
                </c:pt>
                <c:pt idx="92">
                  <c:v>0.70961098398169331</c:v>
                </c:pt>
                <c:pt idx="93">
                  <c:v>0.76069651741293531</c:v>
                </c:pt>
                <c:pt idx="94">
                  <c:v>0.33002114164904861</c:v>
                </c:pt>
                <c:pt idx="95">
                  <c:v>0.60138248847926268</c:v>
                </c:pt>
                <c:pt idx="96">
                  <c:v>0.73963133640552992</c:v>
                </c:pt>
                <c:pt idx="97">
                  <c:v>0.37035573122529647</c:v>
                </c:pt>
                <c:pt idx="98">
                  <c:v>0.53028391167192424</c:v>
                </c:pt>
                <c:pt idx="99">
                  <c:v>0.53030303030303028</c:v>
                </c:pt>
                <c:pt idx="100">
                  <c:v>0.5598425196850394</c:v>
                </c:pt>
                <c:pt idx="101">
                  <c:v>0.40990099009900988</c:v>
                </c:pt>
                <c:pt idx="102">
                  <c:v>0.51019108280254777</c:v>
                </c:pt>
                <c:pt idx="103">
                  <c:v>0.63965244865718796</c:v>
                </c:pt>
                <c:pt idx="104">
                  <c:v>0.47894736842105262</c:v>
                </c:pt>
                <c:pt idx="105">
                  <c:v>0.66023738872403559</c:v>
                </c:pt>
                <c:pt idx="106">
                  <c:v>0.74070796460176991</c:v>
                </c:pt>
                <c:pt idx="107">
                  <c:v>0.52994652406417109</c:v>
                </c:pt>
                <c:pt idx="108">
                  <c:v>0.65965665236051507</c:v>
                </c:pt>
                <c:pt idx="109">
                  <c:v>0.27894736842105261</c:v>
                </c:pt>
                <c:pt idx="110">
                  <c:v>0.43975903614457829</c:v>
                </c:pt>
                <c:pt idx="111">
                  <c:v>0.51935483870967747</c:v>
                </c:pt>
                <c:pt idx="112">
                  <c:v>0.55905292479108637</c:v>
                </c:pt>
                <c:pt idx="113">
                  <c:v>0.53055555555555556</c:v>
                </c:pt>
                <c:pt idx="114">
                  <c:v>0.21171171171171171</c:v>
                </c:pt>
                <c:pt idx="115">
                  <c:v>0.15964912280701754</c:v>
                </c:pt>
                <c:pt idx="116">
                  <c:v>0.44639175257731961</c:v>
                </c:pt>
                <c:pt idx="117">
                  <c:v>0.4794871794871795</c:v>
                </c:pt>
                <c:pt idx="118">
                  <c:v>0.52424242424242429</c:v>
                </c:pt>
                <c:pt idx="119">
                  <c:v>0.61250000000000004</c:v>
                </c:pt>
                <c:pt idx="120">
                  <c:v>0.66216216216216217</c:v>
                </c:pt>
                <c:pt idx="121">
                  <c:v>0.55181347150259064</c:v>
                </c:pt>
                <c:pt idx="122">
                  <c:v>0.58571428571428574</c:v>
                </c:pt>
                <c:pt idx="123">
                  <c:v>0.49024390243902438</c:v>
                </c:pt>
                <c:pt idx="124">
                  <c:v>0.34888888888888892</c:v>
                </c:pt>
                <c:pt idx="125">
                  <c:v>0.64054054054054055</c:v>
                </c:pt>
                <c:pt idx="126">
                  <c:v>0.53851851851851851</c:v>
                </c:pt>
                <c:pt idx="127">
                  <c:v>0.38421052631578945</c:v>
                </c:pt>
                <c:pt idx="128">
                  <c:v>0.42164948453608248</c:v>
                </c:pt>
                <c:pt idx="129">
                  <c:v>0.52978723404255323</c:v>
                </c:pt>
                <c:pt idx="130">
                  <c:v>0.14799999999999999</c:v>
                </c:pt>
                <c:pt idx="131">
                  <c:v>0.44162162162162161</c:v>
                </c:pt>
                <c:pt idx="132">
                  <c:v>0.51052631578947372</c:v>
                </c:pt>
                <c:pt idx="133">
                  <c:v>0.24171428571428571</c:v>
                </c:pt>
                <c:pt idx="134">
                  <c:v>0.45035128805620611</c:v>
                </c:pt>
                <c:pt idx="135">
                  <c:v>0.4717171717171717</c:v>
                </c:pt>
                <c:pt idx="136">
                  <c:v>0.25163398692810457</c:v>
                </c:pt>
                <c:pt idx="137">
                  <c:v>0.54571428571428571</c:v>
                </c:pt>
                <c:pt idx="138">
                  <c:v>0.57204968944099377</c:v>
                </c:pt>
                <c:pt idx="139">
                  <c:v>0.44181818181818183</c:v>
                </c:pt>
                <c:pt idx="140">
                  <c:v>0.64339622641509431</c:v>
                </c:pt>
                <c:pt idx="141">
                  <c:v>0.62235294117647055</c:v>
                </c:pt>
                <c:pt idx="142">
                  <c:v>0.50245398773006134</c:v>
                </c:pt>
                <c:pt idx="143">
                  <c:v>0.44854771784232367</c:v>
                </c:pt>
                <c:pt idx="144">
                  <c:v>0.55454545454545456</c:v>
                </c:pt>
                <c:pt idx="145">
                  <c:v>0.26024653312788903</c:v>
                </c:pt>
                <c:pt idx="146">
                  <c:v>0.71772151898734182</c:v>
                </c:pt>
                <c:pt idx="147">
                  <c:v>0.34258064516129033</c:v>
                </c:pt>
                <c:pt idx="148">
                  <c:v>0.61099476439790579</c:v>
                </c:pt>
                <c:pt idx="149">
                  <c:v>0.52352941176470591</c:v>
                </c:pt>
                <c:pt idx="150">
                  <c:v>0.44782608695652176</c:v>
                </c:pt>
                <c:pt idx="151">
                  <c:v>0.61052631578947369</c:v>
                </c:pt>
                <c:pt idx="152">
                  <c:v>0.608411214953271</c:v>
                </c:pt>
                <c:pt idx="153">
                  <c:v>0.68105263157894735</c:v>
                </c:pt>
                <c:pt idx="154">
                  <c:v>0.38993288590604025</c:v>
                </c:pt>
                <c:pt idx="155">
                  <c:v>0.74785276073619633</c:v>
                </c:pt>
                <c:pt idx="156">
                  <c:v>0.43975903614457829</c:v>
                </c:pt>
                <c:pt idx="157">
                  <c:v>0.63962264150943393</c:v>
                </c:pt>
                <c:pt idx="158">
                  <c:v>0.54064171122994653</c:v>
                </c:pt>
                <c:pt idx="159">
                  <c:v>0.47791411042944787</c:v>
                </c:pt>
                <c:pt idx="160">
                  <c:v>0.41823204419889504</c:v>
                </c:pt>
                <c:pt idx="161">
                  <c:v>0.64873646209386282</c:v>
                </c:pt>
                <c:pt idx="162">
                  <c:v>0.39022082018927445</c:v>
                </c:pt>
                <c:pt idx="163">
                  <c:v>0.45064935064935063</c:v>
                </c:pt>
                <c:pt idx="164">
                  <c:v>0.73859649122807014</c:v>
                </c:pt>
                <c:pt idx="165">
                  <c:v>0.53034482758620693</c:v>
                </c:pt>
                <c:pt idx="166">
                  <c:v>0.37019867549668872</c:v>
                </c:pt>
                <c:pt idx="167">
                  <c:v>0.67062937062937067</c:v>
                </c:pt>
                <c:pt idx="168">
                  <c:v>0.7204081632653061</c:v>
                </c:pt>
                <c:pt idx="169">
                  <c:v>0.5501607717041801</c:v>
                </c:pt>
                <c:pt idx="170">
                  <c:v>0.62890365448504981</c:v>
                </c:pt>
                <c:pt idx="171">
                  <c:v>0.49032967032967034</c:v>
                </c:pt>
                <c:pt idx="172">
                  <c:v>0.48132678132678131</c:v>
                </c:pt>
                <c:pt idx="173">
                  <c:v>0.58100470957613815</c:v>
                </c:pt>
                <c:pt idx="174">
                  <c:v>0.41137724550898203</c:v>
                </c:pt>
                <c:pt idx="175">
                  <c:v>0.57058823529411762</c:v>
                </c:pt>
                <c:pt idx="176">
                  <c:v>0.1</c:v>
                </c:pt>
                <c:pt idx="177">
                  <c:v>0.31931034482758619</c:v>
                </c:pt>
                <c:pt idx="178">
                  <c:v>0.4022222222222222</c:v>
                </c:pt>
                <c:pt idx="179">
                  <c:v>0.21022727272727273</c:v>
                </c:pt>
                <c:pt idx="180">
                  <c:v>0.42</c:v>
                </c:pt>
                <c:pt idx="181">
                  <c:v>0.56008119079837615</c:v>
                </c:pt>
                <c:pt idx="182">
                  <c:v>0.69092872570194386</c:v>
                </c:pt>
                <c:pt idx="183">
                  <c:v>0.36967984934086628</c:v>
                </c:pt>
                <c:pt idx="184">
                  <c:v>0.44038461538461537</c:v>
                </c:pt>
                <c:pt idx="185">
                  <c:v>0.28037135278514591</c:v>
                </c:pt>
                <c:pt idx="186">
                  <c:v>0.44031413612565445</c:v>
                </c:pt>
                <c:pt idx="187">
                  <c:v>0.60965250965250961</c:v>
                </c:pt>
                <c:pt idx="188">
                  <c:v>0.48918918918918919</c:v>
                </c:pt>
                <c:pt idx="189">
                  <c:v>0.77027027027027029</c:v>
                </c:pt>
                <c:pt idx="190">
                  <c:v>0.53042998897464166</c:v>
                </c:pt>
                <c:pt idx="191">
                  <c:v>0.4701674277016743</c:v>
                </c:pt>
                <c:pt idx="192">
                  <c:v>0.17034277198211625</c:v>
                </c:pt>
                <c:pt idx="193">
                  <c:v>0.43902439024390244</c:v>
                </c:pt>
                <c:pt idx="194">
                  <c:v>0.48044914134742406</c:v>
                </c:pt>
                <c:pt idx="195">
                  <c:v>0.71041292639138243</c:v>
                </c:pt>
                <c:pt idx="196">
                  <c:v>0.41876606683804629</c:v>
                </c:pt>
                <c:pt idx="197">
                  <c:v>0.64857142857142858</c:v>
                </c:pt>
                <c:pt idx="198">
                  <c:v>0.39038737446197991</c:v>
                </c:pt>
                <c:pt idx="199">
                  <c:v>0.47014925373134331</c:v>
                </c:pt>
                <c:pt idx="200">
                  <c:v>0.21111111111111111</c:v>
                </c:pt>
                <c:pt idx="201">
                  <c:v>0.52967359050445106</c:v>
                </c:pt>
                <c:pt idx="202">
                  <c:v>0.6293680297397769</c:v>
                </c:pt>
                <c:pt idx="203">
                  <c:v>0.37007299270072991</c:v>
                </c:pt>
                <c:pt idx="204">
                  <c:v>0.82926315789473681</c:v>
                </c:pt>
                <c:pt idx="205">
                  <c:v>0.46856368563685635</c:v>
                </c:pt>
                <c:pt idx="206">
                  <c:v>0.55128205128205132</c:v>
                </c:pt>
                <c:pt idx="207">
                  <c:v>0.67014314928425356</c:v>
                </c:pt>
                <c:pt idx="208">
                  <c:v>0.55048543689320384</c:v>
                </c:pt>
                <c:pt idx="209">
                  <c:v>0.48105263157894734</c:v>
                </c:pt>
                <c:pt idx="210">
                  <c:v>0.34888888888888892</c:v>
                </c:pt>
                <c:pt idx="211">
                  <c:v>0.30904522613065327</c:v>
                </c:pt>
                <c:pt idx="212">
                  <c:v>0.27226277372262775</c:v>
                </c:pt>
                <c:pt idx="213">
                  <c:v>0.41959798994974873</c:v>
                </c:pt>
                <c:pt idx="214">
                  <c:v>0.47016949152542376</c:v>
                </c:pt>
                <c:pt idx="215">
                  <c:v>0.44029850746268656</c:v>
                </c:pt>
                <c:pt idx="216">
                  <c:v>0.25938697318007664</c:v>
                </c:pt>
                <c:pt idx="217">
                  <c:v>0.40115473441108546</c:v>
                </c:pt>
                <c:pt idx="218">
                  <c:v>0.67016574585635358</c:v>
                </c:pt>
                <c:pt idx="219">
                  <c:v>0.75964912280701757</c:v>
                </c:pt>
                <c:pt idx="220">
                  <c:v>0.65970695970695969</c:v>
                </c:pt>
                <c:pt idx="221">
                  <c:v>0.70093312597200619</c:v>
                </c:pt>
                <c:pt idx="222">
                  <c:v>0.5580645161290323</c:v>
                </c:pt>
                <c:pt idx="223">
                  <c:v>0.29032258064516131</c:v>
                </c:pt>
                <c:pt idx="224">
                  <c:v>0.65983086680761094</c:v>
                </c:pt>
                <c:pt idx="225">
                  <c:v>0.38088888888888889</c:v>
                </c:pt>
                <c:pt idx="226">
                  <c:v>0.40034129692832765</c:v>
                </c:pt>
                <c:pt idx="227">
                  <c:v>0.84018691588785044</c:v>
                </c:pt>
                <c:pt idx="228">
                  <c:v>0.30891719745222929</c:v>
                </c:pt>
                <c:pt idx="229">
                  <c:v>0.31118012422360247</c:v>
                </c:pt>
                <c:pt idx="230">
                  <c:v>0.53045685279187815</c:v>
                </c:pt>
                <c:pt idx="231">
                  <c:v>0.38940092165898615</c:v>
                </c:pt>
                <c:pt idx="232">
                  <c:v>0.53032490974729241</c:v>
                </c:pt>
                <c:pt idx="233">
                  <c:v>0.58387096774193548</c:v>
                </c:pt>
                <c:pt idx="234">
                  <c:v>0.36051873198847262</c:v>
                </c:pt>
                <c:pt idx="235">
                  <c:v>0.61037974683544305</c:v>
                </c:pt>
                <c:pt idx="236">
                  <c:v>0.2892957746478873</c:v>
                </c:pt>
                <c:pt idx="237">
                  <c:v>0.62989247311827956</c:v>
                </c:pt>
                <c:pt idx="238">
                  <c:v>0.32068965517241377</c:v>
                </c:pt>
                <c:pt idx="239">
                  <c:v>0.33034055727554179</c:v>
                </c:pt>
                <c:pt idx="240">
                  <c:v>0.66</c:v>
                </c:pt>
                <c:pt idx="241">
                  <c:v>0.54960422163588396</c:v>
                </c:pt>
                <c:pt idx="242">
                  <c:v>0.50067453625632374</c:v>
                </c:pt>
                <c:pt idx="243">
                  <c:v>0.51019108280254777</c:v>
                </c:pt>
              </c:numCache>
            </c:numRef>
          </c:xVal>
          <c:yVal>
            <c:numRef>
              <c:f>'1 - First Best-Fit Line'!$N$4:$N$247</c:f>
              <c:numCache>
                <c:formatCode>0.00%</c:formatCode>
                <c:ptCount val="244"/>
                <c:pt idx="0">
                  <c:v>0.16164400000000001</c:v>
                </c:pt>
                <c:pt idx="1">
                  <c:v>0.347945</c:v>
                </c:pt>
                <c:pt idx="2">
                  <c:v>0.39726</c:v>
                </c:pt>
                <c:pt idx="3">
                  <c:v>0.36438400000000004</c:v>
                </c:pt>
                <c:pt idx="4">
                  <c:v>0.41095900000000002</c:v>
                </c:pt>
                <c:pt idx="5">
                  <c:v>0.41095900000000002</c:v>
                </c:pt>
                <c:pt idx="6">
                  <c:v>0.52602700000000002</c:v>
                </c:pt>
                <c:pt idx="7">
                  <c:v>0.43287700000000001</c:v>
                </c:pt>
                <c:pt idx="8">
                  <c:v>0.69589000000000001</c:v>
                </c:pt>
                <c:pt idx="9">
                  <c:v>0.10958899999999999</c:v>
                </c:pt>
                <c:pt idx="10">
                  <c:v>0.22465800000000002</c:v>
                </c:pt>
                <c:pt idx="11">
                  <c:v>0.21917799999999998</c:v>
                </c:pt>
                <c:pt idx="12">
                  <c:v>0.39178099999999999</c:v>
                </c:pt>
                <c:pt idx="13">
                  <c:v>0.53698599999999996</c:v>
                </c:pt>
                <c:pt idx="14">
                  <c:v>0.51232900000000003</c:v>
                </c:pt>
                <c:pt idx="15">
                  <c:v>0.36164400000000002</c:v>
                </c:pt>
                <c:pt idx="16">
                  <c:v>0.84383600000000003</c:v>
                </c:pt>
                <c:pt idx="17">
                  <c:v>0.91506799999999999</c:v>
                </c:pt>
                <c:pt idx="18">
                  <c:v>0.43013699999999999</c:v>
                </c:pt>
                <c:pt idx="19">
                  <c:v>0.48219200000000001</c:v>
                </c:pt>
                <c:pt idx="20">
                  <c:v>0.49041099999999999</c:v>
                </c:pt>
                <c:pt idx="21">
                  <c:v>0.52328799999999998</c:v>
                </c:pt>
                <c:pt idx="22">
                  <c:v>0.44931500000000002</c:v>
                </c:pt>
                <c:pt idx="23">
                  <c:v>0.66027400000000003</c:v>
                </c:pt>
                <c:pt idx="24">
                  <c:v>0.48767099999999997</c:v>
                </c:pt>
                <c:pt idx="25">
                  <c:v>0.43835599999999997</c:v>
                </c:pt>
                <c:pt idx="26">
                  <c:v>0.53150699999999995</c:v>
                </c:pt>
                <c:pt idx="27">
                  <c:v>0.13972599999999999</c:v>
                </c:pt>
                <c:pt idx="28">
                  <c:v>0.46849299999999999</c:v>
                </c:pt>
                <c:pt idx="29">
                  <c:v>0.50136999999999998</c:v>
                </c:pt>
                <c:pt idx="30">
                  <c:v>0.30684899999999998</c:v>
                </c:pt>
                <c:pt idx="31">
                  <c:v>0.52054800000000001</c:v>
                </c:pt>
                <c:pt idx="32">
                  <c:v>0.12876699999999999</c:v>
                </c:pt>
                <c:pt idx="33">
                  <c:v>0.241096</c:v>
                </c:pt>
                <c:pt idx="34">
                  <c:v>0.45205499999999998</c:v>
                </c:pt>
                <c:pt idx="35">
                  <c:v>0.47945199999999999</c:v>
                </c:pt>
                <c:pt idx="36">
                  <c:v>0.271233</c:v>
                </c:pt>
                <c:pt idx="37">
                  <c:v>0.43013699999999999</c:v>
                </c:pt>
                <c:pt idx="38">
                  <c:v>0.56712300000000004</c:v>
                </c:pt>
                <c:pt idx="39">
                  <c:v>0.320548</c:v>
                </c:pt>
                <c:pt idx="40">
                  <c:v>0.44931500000000002</c:v>
                </c:pt>
                <c:pt idx="41">
                  <c:v>0.50958899999999996</c:v>
                </c:pt>
                <c:pt idx="42">
                  <c:v>0.72054799999999997</c:v>
                </c:pt>
                <c:pt idx="43">
                  <c:v>0.49589</c:v>
                </c:pt>
                <c:pt idx="44">
                  <c:v>0.44931500000000002</c:v>
                </c:pt>
                <c:pt idx="45">
                  <c:v>0.53150699999999995</c:v>
                </c:pt>
                <c:pt idx="46">
                  <c:v>0.15068500000000001</c:v>
                </c:pt>
                <c:pt idx="47">
                  <c:v>0.6</c:v>
                </c:pt>
                <c:pt idx="48">
                  <c:v>0.52602700000000002</c:v>
                </c:pt>
                <c:pt idx="49">
                  <c:v>0.21095900000000001</c:v>
                </c:pt>
                <c:pt idx="50">
                  <c:v>0.331507</c:v>
                </c:pt>
                <c:pt idx="51">
                  <c:v>0.32876699999999998</c:v>
                </c:pt>
                <c:pt idx="52">
                  <c:v>0.61917800000000001</c:v>
                </c:pt>
                <c:pt idx="53">
                  <c:v>0.271233</c:v>
                </c:pt>
                <c:pt idx="54">
                  <c:v>0.32876699999999998</c:v>
                </c:pt>
                <c:pt idx="55">
                  <c:v>0.41369900000000004</c:v>
                </c:pt>
                <c:pt idx="56">
                  <c:v>0.47945199999999999</c:v>
                </c:pt>
                <c:pt idx="57">
                  <c:v>0.63013699999999995</c:v>
                </c:pt>
                <c:pt idx="58">
                  <c:v>0.90410999999999997</c:v>
                </c:pt>
                <c:pt idx="59">
                  <c:v>0.542466</c:v>
                </c:pt>
                <c:pt idx="60">
                  <c:v>7.9451999999999995E-2</c:v>
                </c:pt>
                <c:pt idx="61">
                  <c:v>0.55068499999999998</c:v>
                </c:pt>
                <c:pt idx="62">
                  <c:v>0.69315099999999996</c:v>
                </c:pt>
                <c:pt idx="63">
                  <c:v>0.71506800000000004</c:v>
                </c:pt>
                <c:pt idx="64">
                  <c:v>0.52054800000000001</c:v>
                </c:pt>
                <c:pt idx="65">
                  <c:v>0.15890399999999999</c:v>
                </c:pt>
                <c:pt idx="66">
                  <c:v>0.54520499999999994</c:v>
                </c:pt>
                <c:pt idx="67">
                  <c:v>0.47945199999999999</c:v>
                </c:pt>
                <c:pt idx="68">
                  <c:v>0.58630099999999996</c:v>
                </c:pt>
                <c:pt idx="69">
                  <c:v>0.67945199999999994</c:v>
                </c:pt>
                <c:pt idx="70">
                  <c:v>0.57808199999999998</c:v>
                </c:pt>
                <c:pt idx="71">
                  <c:v>0.41095900000000002</c:v>
                </c:pt>
                <c:pt idx="72">
                  <c:v>0.68219200000000002</c:v>
                </c:pt>
                <c:pt idx="73">
                  <c:v>0.824658</c:v>
                </c:pt>
                <c:pt idx="74">
                  <c:v>0.21643799999999999</c:v>
                </c:pt>
                <c:pt idx="75">
                  <c:v>0.6</c:v>
                </c:pt>
                <c:pt idx="76">
                  <c:v>0.39178099999999999</c:v>
                </c:pt>
                <c:pt idx="77">
                  <c:v>0.58904100000000004</c:v>
                </c:pt>
                <c:pt idx="78">
                  <c:v>0.29315099999999999</c:v>
                </c:pt>
                <c:pt idx="79">
                  <c:v>0.271233</c:v>
                </c:pt>
                <c:pt idx="80">
                  <c:v>0.55068499999999998</c:v>
                </c:pt>
                <c:pt idx="81">
                  <c:v>0.45205499999999998</c:v>
                </c:pt>
                <c:pt idx="82">
                  <c:v>0.51780800000000005</c:v>
                </c:pt>
                <c:pt idx="83">
                  <c:v>0.52054800000000001</c:v>
                </c:pt>
                <c:pt idx="84">
                  <c:v>0.63013699999999995</c:v>
                </c:pt>
                <c:pt idx="85">
                  <c:v>0.369863</c:v>
                </c:pt>
                <c:pt idx="86">
                  <c:v>0.56986300000000001</c:v>
                </c:pt>
                <c:pt idx="87">
                  <c:v>0.419178</c:v>
                </c:pt>
                <c:pt idx="88">
                  <c:v>0.454795</c:v>
                </c:pt>
                <c:pt idx="89">
                  <c:v>0.62191799999999997</c:v>
                </c:pt>
                <c:pt idx="90">
                  <c:v>0.70958900000000003</c:v>
                </c:pt>
                <c:pt idx="91">
                  <c:v>0.309589</c:v>
                </c:pt>
                <c:pt idx="92">
                  <c:v>0.241096</c:v>
                </c:pt>
                <c:pt idx="93">
                  <c:v>4.6574999999999998E-2</c:v>
                </c:pt>
                <c:pt idx="94">
                  <c:v>0.63561599999999996</c:v>
                </c:pt>
                <c:pt idx="95">
                  <c:v>0.43013699999999999</c:v>
                </c:pt>
                <c:pt idx="96">
                  <c:v>0.38082199999999999</c:v>
                </c:pt>
                <c:pt idx="97">
                  <c:v>0.457534</c:v>
                </c:pt>
                <c:pt idx="98">
                  <c:v>0.18904099999999999</c:v>
                </c:pt>
                <c:pt idx="99">
                  <c:v>0.29041099999999997</c:v>
                </c:pt>
                <c:pt idx="100">
                  <c:v>0.29863000000000001</c:v>
                </c:pt>
                <c:pt idx="101">
                  <c:v>0.58082199999999995</c:v>
                </c:pt>
                <c:pt idx="102">
                  <c:v>0.39178099999999999</c:v>
                </c:pt>
                <c:pt idx="103">
                  <c:v>0.38630100000000001</c:v>
                </c:pt>
                <c:pt idx="104">
                  <c:v>0.48767099999999997</c:v>
                </c:pt>
                <c:pt idx="105">
                  <c:v>0.41095900000000002</c:v>
                </c:pt>
                <c:pt idx="106">
                  <c:v>0.50411000000000006</c:v>
                </c:pt>
                <c:pt idx="107">
                  <c:v>0.27671200000000001</c:v>
                </c:pt>
                <c:pt idx="108">
                  <c:v>0.32876699999999998</c:v>
                </c:pt>
                <c:pt idx="109">
                  <c:v>0.53150699999999995</c:v>
                </c:pt>
                <c:pt idx="110">
                  <c:v>0.42739699999999997</c:v>
                </c:pt>
                <c:pt idx="111">
                  <c:v>0.241096</c:v>
                </c:pt>
                <c:pt idx="112">
                  <c:v>0.41095900000000002</c:v>
                </c:pt>
                <c:pt idx="113">
                  <c:v>0.39726</c:v>
                </c:pt>
                <c:pt idx="114">
                  <c:v>0.79725999999999997</c:v>
                </c:pt>
                <c:pt idx="115">
                  <c:v>0.68767100000000003</c:v>
                </c:pt>
                <c:pt idx="116">
                  <c:v>0.58904100000000004</c:v>
                </c:pt>
                <c:pt idx="117">
                  <c:v>0.61917800000000001</c:v>
                </c:pt>
                <c:pt idx="118">
                  <c:v>0.454795</c:v>
                </c:pt>
                <c:pt idx="119">
                  <c:v>0.48767099999999997</c:v>
                </c:pt>
                <c:pt idx="120">
                  <c:v>0.47945199999999999</c:v>
                </c:pt>
                <c:pt idx="121">
                  <c:v>0.49315100000000001</c:v>
                </c:pt>
                <c:pt idx="122">
                  <c:v>0.36164400000000002</c:v>
                </c:pt>
                <c:pt idx="123">
                  <c:v>0.42191800000000002</c:v>
                </c:pt>
                <c:pt idx="124">
                  <c:v>0.74246599999999996</c:v>
                </c:pt>
                <c:pt idx="125">
                  <c:v>0.369863</c:v>
                </c:pt>
                <c:pt idx="126">
                  <c:v>0.44109599999999999</c:v>
                </c:pt>
                <c:pt idx="127">
                  <c:v>0.47945199999999999</c:v>
                </c:pt>
                <c:pt idx="128">
                  <c:v>0.41369900000000004</c:v>
                </c:pt>
                <c:pt idx="129">
                  <c:v>0.44383600000000001</c:v>
                </c:pt>
                <c:pt idx="130">
                  <c:v>0.61917800000000001</c:v>
                </c:pt>
                <c:pt idx="131">
                  <c:v>0.54794500000000002</c:v>
                </c:pt>
                <c:pt idx="132">
                  <c:v>0.271233</c:v>
                </c:pt>
                <c:pt idx="133">
                  <c:v>0.76164399999999999</c:v>
                </c:pt>
                <c:pt idx="134">
                  <c:v>0.51232900000000003</c:v>
                </c:pt>
                <c:pt idx="135">
                  <c:v>0.60821899999999995</c:v>
                </c:pt>
                <c:pt idx="136">
                  <c:v>0.61095900000000003</c:v>
                </c:pt>
                <c:pt idx="137">
                  <c:v>0.30684899999999998</c:v>
                </c:pt>
                <c:pt idx="138">
                  <c:v>0.52328799999999998</c:v>
                </c:pt>
                <c:pt idx="139">
                  <c:v>0.48219200000000001</c:v>
                </c:pt>
                <c:pt idx="140">
                  <c:v>0.221918</c:v>
                </c:pt>
                <c:pt idx="141">
                  <c:v>0.38904099999999997</c:v>
                </c:pt>
                <c:pt idx="142">
                  <c:v>0.41643799999999997</c:v>
                </c:pt>
                <c:pt idx="143">
                  <c:v>0.48493200000000003</c:v>
                </c:pt>
                <c:pt idx="144">
                  <c:v>0.55068499999999998</c:v>
                </c:pt>
                <c:pt idx="145">
                  <c:v>0.816438</c:v>
                </c:pt>
                <c:pt idx="146">
                  <c:v>0.29315099999999999</c:v>
                </c:pt>
                <c:pt idx="147">
                  <c:v>0.50136999999999998</c:v>
                </c:pt>
                <c:pt idx="148">
                  <c:v>0.30137000000000003</c:v>
                </c:pt>
                <c:pt idx="149">
                  <c:v>0.34246599999999999</c:v>
                </c:pt>
                <c:pt idx="150">
                  <c:v>0.6</c:v>
                </c:pt>
                <c:pt idx="151">
                  <c:v>0.49863000000000002</c:v>
                </c:pt>
                <c:pt idx="152">
                  <c:v>0.63835600000000003</c:v>
                </c:pt>
                <c:pt idx="153">
                  <c:v>0.29041099999999997</c:v>
                </c:pt>
                <c:pt idx="154">
                  <c:v>0.53972600000000004</c:v>
                </c:pt>
                <c:pt idx="155">
                  <c:v>0.27945199999999998</c:v>
                </c:pt>
                <c:pt idx="156">
                  <c:v>0.67671199999999998</c:v>
                </c:pt>
                <c:pt idx="157">
                  <c:v>0.38904099999999997</c:v>
                </c:pt>
                <c:pt idx="158">
                  <c:v>0.57534200000000002</c:v>
                </c:pt>
                <c:pt idx="159">
                  <c:v>0.31232900000000002</c:v>
                </c:pt>
                <c:pt idx="160">
                  <c:v>0.45205499999999998</c:v>
                </c:pt>
                <c:pt idx="161">
                  <c:v>0.53150699999999995</c:v>
                </c:pt>
                <c:pt idx="162">
                  <c:v>0.53972600000000004</c:v>
                </c:pt>
                <c:pt idx="163">
                  <c:v>0.40273999999999999</c:v>
                </c:pt>
                <c:pt idx="164">
                  <c:v>0.4</c:v>
                </c:pt>
                <c:pt idx="165">
                  <c:v>0.43013699999999999</c:v>
                </c:pt>
                <c:pt idx="166">
                  <c:v>0.40273999999999999</c:v>
                </c:pt>
                <c:pt idx="167">
                  <c:v>0.31232900000000002</c:v>
                </c:pt>
                <c:pt idx="168">
                  <c:v>0.23013700000000001</c:v>
                </c:pt>
                <c:pt idx="169">
                  <c:v>0.6</c:v>
                </c:pt>
                <c:pt idx="170">
                  <c:v>0.232877</c:v>
                </c:pt>
                <c:pt idx="171">
                  <c:v>0.408219</c:v>
                </c:pt>
                <c:pt idx="172">
                  <c:v>0.32602700000000001</c:v>
                </c:pt>
                <c:pt idx="173">
                  <c:v>0.38904099999999997</c:v>
                </c:pt>
                <c:pt idx="174">
                  <c:v>0.52054800000000001</c:v>
                </c:pt>
                <c:pt idx="175">
                  <c:v>0.46301400000000004</c:v>
                </c:pt>
                <c:pt idx="176">
                  <c:v>0.67945199999999994</c:v>
                </c:pt>
                <c:pt idx="177">
                  <c:v>0.68219200000000002</c:v>
                </c:pt>
                <c:pt idx="178">
                  <c:v>0.56986300000000001</c:v>
                </c:pt>
                <c:pt idx="179">
                  <c:v>0.86849299999999996</c:v>
                </c:pt>
                <c:pt idx="180">
                  <c:v>0.52328799999999998</c:v>
                </c:pt>
                <c:pt idx="181">
                  <c:v>0.46027400000000002</c:v>
                </c:pt>
                <c:pt idx="182">
                  <c:v>0.35342499999999999</c:v>
                </c:pt>
                <c:pt idx="183">
                  <c:v>0.49863000000000002</c:v>
                </c:pt>
                <c:pt idx="184">
                  <c:v>0.51506799999999997</c:v>
                </c:pt>
                <c:pt idx="185">
                  <c:v>0.87123300000000004</c:v>
                </c:pt>
                <c:pt idx="186">
                  <c:v>0.50684899999999999</c:v>
                </c:pt>
                <c:pt idx="187">
                  <c:v>0.282192</c:v>
                </c:pt>
                <c:pt idx="188">
                  <c:v>0.542466</c:v>
                </c:pt>
                <c:pt idx="189">
                  <c:v>8.2192000000000001E-2</c:v>
                </c:pt>
                <c:pt idx="190">
                  <c:v>0.347945</c:v>
                </c:pt>
                <c:pt idx="191">
                  <c:v>0.47671199999999997</c:v>
                </c:pt>
                <c:pt idx="192">
                  <c:v>0.77808199999999994</c:v>
                </c:pt>
                <c:pt idx="193">
                  <c:v>0.39726</c:v>
                </c:pt>
                <c:pt idx="194">
                  <c:v>0.6</c:v>
                </c:pt>
                <c:pt idx="195">
                  <c:v>0.29315099999999999</c:v>
                </c:pt>
                <c:pt idx="196">
                  <c:v>0.641096</c:v>
                </c:pt>
                <c:pt idx="197">
                  <c:v>0.50411000000000006</c:v>
                </c:pt>
                <c:pt idx="198">
                  <c:v>0.40273999999999999</c:v>
                </c:pt>
                <c:pt idx="199">
                  <c:v>0.50684899999999999</c:v>
                </c:pt>
                <c:pt idx="200">
                  <c:v>0.54794500000000002</c:v>
                </c:pt>
                <c:pt idx="201">
                  <c:v>0.369863</c:v>
                </c:pt>
                <c:pt idx="202">
                  <c:v>0.23561599999999999</c:v>
                </c:pt>
                <c:pt idx="203">
                  <c:v>0.58082199999999995</c:v>
                </c:pt>
                <c:pt idx="204">
                  <c:v>1.9178000000000001E-2</c:v>
                </c:pt>
                <c:pt idx="205">
                  <c:v>0.46849299999999999</c:v>
                </c:pt>
                <c:pt idx="206">
                  <c:v>0.34246599999999999</c:v>
                </c:pt>
                <c:pt idx="207">
                  <c:v>0.271233</c:v>
                </c:pt>
                <c:pt idx="208">
                  <c:v>0.43013699999999999</c:v>
                </c:pt>
                <c:pt idx="209">
                  <c:v>0.60547899999999999</c:v>
                </c:pt>
                <c:pt idx="210">
                  <c:v>0.56712300000000004</c:v>
                </c:pt>
                <c:pt idx="211">
                  <c:v>0.61917800000000001</c:v>
                </c:pt>
                <c:pt idx="212">
                  <c:v>0.70411000000000001</c:v>
                </c:pt>
                <c:pt idx="213">
                  <c:v>0.44383600000000001</c:v>
                </c:pt>
                <c:pt idx="214">
                  <c:v>0.446575</c:v>
                </c:pt>
                <c:pt idx="215">
                  <c:v>0.42191800000000002</c:v>
                </c:pt>
                <c:pt idx="216">
                  <c:v>0.591781</c:v>
                </c:pt>
                <c:pt idx="217">
                  <c:v>0.57260299999999997</c:v>
                </c:pt>
                <c:pt idx="218">
                  <c:v>0.42465800000000004</c:v>
                </c:pt>
                <c:pt idx="219">
                  <c:v>7.9451999999999995E-2</c:v>
                </c:pt>
                <c:pt idx="220">
                  <c:v>0.31780799999999998</c:v>
                </c:pt>
                <c:pt idx="221">
                  <c:v>0.31232900000000002</c:v>
                </c:pt>
                <c:pt idx="222">
                  <c:v>0.39726</c:v>
                </c:pt>
                <c:pt idx="223">
                  <c:v>0.61095900000000003</c:v>
                </c:pt>
                <c:pt idx="224">
                  <c:v>0.232877</c:v>
                </c:pt>
                <c:pt idx="225">
                  <c:v>0.50684899999999999</c:v>
                </c:pt>
                <c:pt idx="226">
                  <c:v>0.61643800000000004</c:v>
                </c:pt>
                <c:pt idx="227">
                  <c:v>0.10137</c:v>
                </c:pt>
                <c:pt idx="228">
                  <c:v>0.31506799999999996</c:v>
                </c:pt>
                <c:pt idx="229">
                  <c:v>0.65205500000000005</c:v>
                </c:pt>
                <c:pt idx="230">
                  <c:v>0.51232900000000003</c:v>
                </c:pt>
                <c:pt idx="231">
                  <c:v>0.62739699999999998</c:v>
                </c:pt>
                <c:pt idx="232">
                  <c:v>0.39726</c:v>
                </c:pt>
                <c:pt idx="233">
                  <c:v>0.37534200000000001</c:v>
                </c:pt>
                <c:pt idx="234">
                  <c:v>0.33424700000000002</c:v>
                </c:pt>
                <c:pt idx="235">
                  <c:v>0.36164400000000002</c:v>
                </c:pt>
                <c:pt idx="236">
                  <c:v>0.26575299999999996</c:v>
                </c:pt>
                <c:pt idx="237">
                  <c:v>0.38630100000000001</c:v>
                </c:pt>
                <c:pt idx="238">
                  <c:v>0.31506799999999996</c:v>
                </c:pt>
                <c:pt idx="239">
                  <c:v>0.55616399999999999</c:v>
                </c:pt>
                <c:pt idx="240">
                  <c:v>0.44931500000000002</c:v>
                </c:pt>
                <c:pt idx="241">
                  <c:v>0.31780799999999998</c:v>
                </c:pt>
                <c:pt idx="242">
                  <c:v>0.51232900000000003</c:v>
                </c:pt>
                <c:pt idx="243">
                  <c:v>0.369863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41120"/>
        <c:axId val="157422720"/>
      </c:scatterChart>
      <c:valAx>
        <c:axId val="157941120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crossAx val="157422720"/>
        <c:crosses val="autoZero"/>
        <c:crossBetween val="midCat"/>
      </c:valAx>
      <c:valAx>
        <c:axId val="1574227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57941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708660</xdr:colOff>
      <xdr:row>253</xdr:row>
      <xdr:rowOff>102870</xdr:rowOff>
    </xdr:from>
    <xdr:to>
      <xdr:col>17</xdr:col>
      <xdr:colOff>129540</xdr:colOff>
      <xdr:row>267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2560320</xdr:colOff>
      <xdr:row>261</xdr:row>
      <xdr:rowOff>179070</xdr:rowOff>
    </xdr:from>
    <xdr:to>
      <xdr:col>19</xdr:col>
      <xdr:colOff>274320</xdr:colOff>
      <xdr:row>275</xdr:row>
      <xdr:rowOff>148590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7"/>
  <sheetViews>
    <sheetView tabSelected="1" zoomScaleNormal="100" workbookViewId="0">
      <selection activeCell="R127" sqref="R127"/>
    </sheetView>
  </sheetViews>
  <sheetFormatPr defaultColWidth="11.19921875" defaultRowHeight="15.6" x14ac:dyDescent="0.3"/>
  <cols>
    <col min="1" max="1" width="22.19921875" customWidth="1"/>
    <col min="3" max="3" width="38.5" customWidth="1"/>
    <col min="4" max="4" width="26.19921875" customWidth="1"/>
    <col min="5" max="5" width="20.796875" style="16" customWidth="1"/>
    <col min="6" max="7" width="18.19921875" customWidth="1"/>
    <col min="8" max="8" width="39.19921875" style="3" customWidth="1"/>
    <col min="9" max="9" width="21.5" style="16" customWidth="1"/>
    <col min="10" max="10" width="25.69921875" style="16" customWidth="1"/>
    <col min="11" max="12" width="21.296875" style="16" customWidth="1"/>
    <col min="13" max="13" width="21.296875" style="20" customWidth="1"/>
    <col min="14" max="14" width="27.796875" style="4" customWidth="1"/>
    <col min="15" max="15" width="45.19921875" customWidth="1"/>
    <col min="16" max="16" width="68.5" style="13" customWidth="1"/>
    <col min="17" max="17" width="68.19921875" customWidth="1"/>
    <col min="18" max="18" width="62.59765625" customWidth="1"/>
    <col min="19" max="19" width="44.296875" customWidth="1"/>
  </cols>
  <sheetData>
    <row r="1" spans="1:19" x14ac:dyDescent="0.3">
      <c r="B1" t="s">
        <v>0</v>
      </c>
      <c r="C1" s="1" t="s">
        <v>1</v>
      </c>
      <c r="D1" s="2" t="s">
        <v>2</v>
      </c>
      <c r="K1" s="16" t="s">
        <v>3</v>
      </c>
      <c r="P1" s="13" t="s">
        <v>336</v>
      </c>
      <c r="Q1">
        <v>-0.79169999999999996</v>
      </c>
      <c r="R1" t="s">
        <v>338</v>
      </c>
      <c r="S1">
        <v>0.3</v>
      </c>
    </row>
    <row r="2" spans="1:19" x14ac:dyDescent="0.3">
      <c r="E2" s="16" t="s">
        <v>4</v>
      </c>
      <c r="F2" s="12">
        <f>36/37</f>
        <v>0.97297297297297303</v>
      </c>
      <c r="G2" s="12"/>
      <c r="H2" s="9" t="s">
        <v>19</v>
      </c>
      <c r="I2" s="16" t="s">
        <v>5</v>
      </c>
      <c r="K2" s="16" t="s">
        <v>6</v>
      </c>
      <c r="N2" s="4" t="s">
        <v>7</v>
      </c>
      <c r="P2" s="13" t="s">
        <v>337</v>
      </c>
      <c r="Q2">
        <v>0.85070000000000001</v>
      </c>
    </row>
    <row r="3" spans="1:19" s="8" customFormat="1" x14ac:dyDescent="0.3">
      <c r="A3" s="5" t="s">
        <v>8</v>
      </c>
      <c r="B3" s="5" t="s">
        <v>9</v>
      </c>
      <c r="C3" s="5" t="s">
        <v>10</v>
      </c>
      <c r="D3" s="5" t="s">
        <v>11</v>
      </c>
      <c r="E3" s="17" t="s">
        <v>12</v>
      </c>
      <c r="F3" s="5" t="s">
        <v>13</v>
      </c>
      <c r="G3" s="5" t="s">
        <v>333</v>
      </c>
      <c r="H3" s="6" t="s">
        <v>14</v>
      </c>
      <c r="I3" s="17" t="s">
        <v>15</v>
      </c>
      <c r="J3" s="17" t="s">
        <v>16</v>
      </c>
      <c r="K3" s="17" t="s">
        <v>17</v>
      </c>
      <c r="L3" s="17" t="s">
        <v>334</v>
      </c>
      <c r="M3" s="21" t="s">
        <v>335</v>
      </c>
      <c r="N3" s="7" t="s">
        <v>18</v>
      </c>
      <c r="O3" s="11" t="s">
        <v>20</v>
      </c>
      <c r="P3" s="23" t="s">
        <v>21</v>
      </c>
      <c r="Q3" s="11" t="s">
        <v>22</v>
      </c>
      <c r="R3" s="11" t="s">
        <v>23</v>
      </c>
      <c r="S3" s="10" t="s">
        <v>24</v>
      </c>
    </row>
    <row r="4" spans="1:19" x14ac:dyDescent="0.3">
      <c r="A4" t="s">
        <v>25</v>
      </c>
      <c r="B4" t="s">
        <v>269</v>
      </c>
      <c r="C4" t="s">
        <v>331</v>
      </c>
      <c r="D4">
        <v>2</v>
      </c>
      <c r="E4" s="16">
        <v>1060</v>
      </c>
      <c r="F4" s="14">
        <v>16.164400000000001</v>
      </c>
      <c r="G4" s="15">
        <f>F4/100</f>
        <v>0.16164400000000001</v>
      </c>
      <c r="H4" s="18">
        <f>E4*12*G4</f>
        <v>2056.11168</v>
      </c>
      <c r="I4" s="16">
        <v>114</v>
      </c>
      <c r="J4" s="16">
        <v>153</v>
      </c>
      <c r="K4" s="16">
        <v>148</v>
      </c>
      <c r="L4" s="16">
        <f>J4-I4</f>
        <v>39</v>
      </c>
      <c r="M4" s="20">
        <f>(K4-(I4-1/8*L4))/(1.25*L4)</f>
        <v>0.79743589743589749</v>
      </c>
      <c r="N4" s="19">
        <v>0.16164400000000001</v>
      </c>
      <c r="O4" s="22">
        <v>100</v>
      </c>
      <c r="P4" s="13">
        <f>(O4-(I4-1/8*L4))/(1.25*L4)</f>
        <v>-0.18717948717948718</v>
      </c>
      <c r="Q4" s="13">
        <f>P4*$Q$1+$Q$2</f>
        <v>0.99889000000000006</v>
      </c>
      <c r="R4" s="16">
        <f>365*O4*Q4</f>
        <v>36459.485000000001</v>
      </c>
      <c r="S4">
        <f>R4*(1-$S$1)</f>
        <v>25521.639499999997</v>
      </c>
    </row>
    <row r="5" spans="1:19" x14ac:dyDescent="0.3">
      <c r="A5" t="s">
        <v>26</v>
      </c>
      <c r="B5" t="s">
        <v>270</v>
      </c>
      <c r="C5" t="s">
        <v>331</v>
      </c>
      <c r="D5">
        <v>2</v>
      </c>
      <c r="E5" s="16">
        <v>1200</v>
      </c>
      <c r="F5" s="14">
        <v>34.794499999999999</v>
      </c>
      <c r="G5" s="15">
        <f t="shared" ref="G5:G68" si="0">F5/100</f>
        <v>0.347945</v>
      </c>
      <c r="H5" s="18">
        <f t="shared" ref="H5:H68" si="1">E5*12*G5</f>
        <v>5010.4080000000004</v>
      </c>
      <c r="I5" s="16">
        <v>111</v>
      </c>
      <c r="J5" s="16">
        <v>149</v>
      </c>
      <c r="K5" s="16">
        <v>133</v>
      </c>
      <c r="L5" s="16">
        <f t="shared" ref="L5:L68" si="2">J5-I5</f>
        <v>38</v>
      </c>
      <c r="M5" s="20">
        <f t="shared" ref="M5:M68" si="3">(K5-(I5-1/8*L5))/(1.25*L5)</f>
        <v>0.56315789473684208</v>
      </c>
      <c r="N5" s="19">
        <v>0.347945</v>
      </c>
      <c r="O5" s="22">
        <v>100</v>
      </c>
      <c r="P5" s="13">
        <f t="shared" ref="P5:P68" si="4">(O5-(I5-1/8*L5))/(1.25*L5)</f>
        <v>-0.13157894736842105</v>
      </c>
      <c r="Q5" s="13">
        <f t="shared" ref="Q5:Q68" si="5">P5*$Q$1+$Q$2</f>
        <v>0.9548710526315789</v>
      </c>
      <c r="R5" s="16">
        <f t="shared" ref="R5:R68" si="6">365*O5*Q5</f>
        <v>34852.793421052629</v>
      </c>
      <c r="S5">
        <f t="shared" ref="S5:S68" si="7">R5*(1-$S$1)</f>
        <v>24396.95539473684</v>
      </c>
    </row>
    <row r="6" spans="1:19" x14ac:dyDescent="0.3">
      <c r="A6" t="s">
        <v>27</v>
      </c>
      <c r="B6" t="s">
        <v>271</v>
      </c>
      <c r="C6" t="s">
        <v>331</v>
      </c>
      <c r="D6">
        <v>1</v>
      </c>
      <c r="E6" s="16">
        <v>3300</v>
      </c>
      <c r="F6" s="14">
        <v>39.725999999999999</v>
      </c>
      <c r="G6" s="15">
        <f t="shared" si="0"/>
        <v>0.39726</v>
      </c>
      <c r="H6" s="18">
        <f t="shared" si="1"/>
        <v>15731.495999999999</v>
      </c>
      <c r="I6" s="16">
        <v>108</v>
      </c>
      <c r="J6" s="16">
        <v>610</v>
      </c>
      <c r="K6" s="16">
        <v>372</v>
      </c>
      <c r="L6" s="16">
        <f t="shared" si="2"/>
        <v>502</v>
      </c>
      <c r="M6" s="20">
        <f t="shared" si="3"/>
        <v>0.52071713147410359</v>
      </c>
      <c r="N6" s="19">
        <v>0.39726</v>
      </c>
      <c r="O6" s="22">
        <v>100</v>
      </c>
      <c r="P6" s="13">
        <f t="shared" si="4"/>
        <v>8.725099601593625E-2</v>
      </c>
      <c r="Q6" s="13">
        <f t="shared" si="5"/>
        <v>0.78162338645418328</v>
      </c>
      <c r="R6" s="16">
        <f t="shared" si="6"/>
        <v>28529.253605577691</v>
      </c>
      <c r="S6">
        <f t="shared" si="7"/>
        <v>19970.477523904381</v>
      </c>
    </row>
    <row r="7" spans="1:19" x14ac:dyDescent="0.3">
      <c r="A7" t="s">
        <v>28</v>
      </c>
      <c r="B7" t="s">
        <v>272</v>
      </c>
      <c r="C7" t="s">
        <v>331</v>
      </c>
      <c r="D7">
        <v>1</v>
      </c>
      <c r="E7" s="16">
        <v>1400</v>
      </c>
      <c r="F7" s="14">
        <v>36.438400000000001</v>
      </c>
      <c r="G7" s="15">
        <f t="shared" si="0"/>
        <v>0.36438400000000004</v>
      </c>
      <c r="H7" s="18">
        <f t="shared" si="1"/>
        <v>6121.6512000000002</v>
      </c>
      <c r="I7" s="16">
        <v>178</v>
      </c>
      <c r="J7" s="16">
        <v>533</v>
      </c>
      <c r="K7" s="16">
        <v>302</v>
      </c>
      <c r="L7" s="16">
        <f t="shared" si="2"/>
        <v>355</v>
      </c>
      <c r="M7" s="20">
        <f t="shared" si="3"/>
        <v>0.37943661971830989</v>
      </c>
      <c r="N7" s="19">
        <v>0.36438400000000004</v>
      </c>
      <c r="O7" s="22">
        <v>100</v>
      </c>
      <c r="P7" s="13">
        <f t="shared" si="4"/>
        <v>-7.5774647887323937E-2</v>
      </c>
      <c r="Q7" s="13">
        <f t="shared" si="5"/>
        <v>0.9106907887323944</v>
      </c>
      <c r="R7" s="16">
        <f t="shared" si="6"/>
        <v>33240.213788732399</v>
      </c>
      <c r="S7">
        <f t="shared" si="7"/>
        <v>23268.149652112679</v>
      </c>
    </row>
    <row r="8" spans="1:19" x14ac:dyDescent="0.3">
      <c r="A8" t="s">
        <v>29</v>
      </c>
      <c r="B8" t="s">
        <v>272</v>
      </c>
      <c r="C8" t="s">
        <v>331</v>
      </c>
      <c r="D8">
        <v>2</v>
      </c>
      <c r="E8" s="16">
        <v>2000</v>
      </c>
      <c r="F8" s="14">
        <v>41.0959</v>
      </c>
      <c r="G8" s="15">
        <f t="shared" si="0"/>
        <v>0.41095900000000002</v>
      </c>
      <c r="H8" s="18">
        <f t="shared" si="1"/>
        <v>9863.0159999999996</v>
      </c>
      <c r="I8" s="16">
        <v>221</v>
      </c>
      <c r="J8" s="16">
        <v>617</v>
      </c>
      <c r="K8" s="16">
        <v>429</v>
      </c>
      <c r="L8" s="16">
        <f t="shared" si="2"/>
        <v>396</v>
      </c>
      <c r="M8" s="20">
        <f t="shared" si="3"/>
        <v>0.52020202020202022</v>
      </c>
      <c r="N8" s="19">
        <v>0.41095900000000002</v>
      </c>
      <c r="O8" s="22">
        <v>100</v>
      </c>
      <c r="P8" s="13">
        <f t="shared" si="4"/>
        <v>-0.14444444444444443</v>
      </c>
      <c r="Q8" s="13">
        <f t="shared" si="5"/>
        <v>0.96505666666666667</v>
      </c>
      <c r="R8" s="16">
        <f t="shared" si="6"/>
        <v>35224.568333333336</v>
      </c>
      <c r="S8">
        <f t="shared" si="7"/>
        <v>24657.197833333335</v>
      </c>
    </row>
    <row r="9" spans="1:19" x14ac:dyDescent="0.3">
      <c r="A9" t="s">
        <v>30</v>
      </c>
      <c r="B9" t="s">
        <v>272</v>
      </c>
      <c r="C9" t="s">
        <v>332</v>
      </c>
      <c r="D9">
        <v>1</v>
      </c>
      <c r="E9" s="16">
        <v>1600</v>
      </c>
      <c r="F9" s="14">
        <v>41.0959</v>
      </c>
      <c r="G9" s="15">
        <f t="shared" si="0"/>
        <v>0.41095900000000002</v>
      </c>
      <c r="H9" s="18">
        <f t="shared" si="1"/>
        <v>7890.4128000000001</v>
      </c>
      <c r="I9" s="16">
        <v>202</v>
      </c>
      <c r="J9" s="16">
        <v>646</v>
      </c>
      <c r="K9" s="16">
        <v>380</v>
      </c>
      <c r="L9" s="16">
        <f t="shared" si="2"/>
        <v>444</v>
      </c>
      <c r="M9" s="20">
        <f t="shared" si="3"/>
        <v>0.4207207207207207</v>
      </c>
      <c r="N9" s="19">
        <v>0.41095900000000002</v>
      </c>
      <c r="O9" s="22">
        <v>100</v>
      </c>
      <c r="P9" s="13">
        <f t="shared" si="4"/>
        <v>-8.3783783783783788E-2</v>
      </c>
      <c r="Q9" s="13">
        <f t="shared" si="5"/>
        <v>0.91703162162162166</v>
      </c>
      <c r="R9" s="16">
        <f t="shared" si="6"/>
        <v>33471.65418918919</v>
      </c>
      <c r="S9">
        <f t="shared" si="7"/>
        <v>23430.15793243243</v>
      </c>
    </row>
    <row r="10" spans="1:19" x14ac:dyDescent="0.3">
      <c r="A10" t="s">
        <v>31</v>
      </c>
      <c r="B10" t="s">
        <v>272</v>
      </c>
      <c r="C10" t="s">
        <v>332</v>
      </c>
      <c r="D10">
        <v>2</v>
      </c>
      <c r="E10" s="16">
        <v>2800</v>
      </c>
      <c r="F10" s="14">
        <v>52.602699999999999</v>
      </c>
      <c r="G10" s="15">
        <f t="shared" si="0"/>
        <v>0.52602700000000002</v>
      </c>
      <c r="H10" s="18">
        <f t="shared" si="1"/>
        <v>17674.5072</v>
      </c>
      <c r="I10" s="16">
        <v>197</v>
      </c>
      <c r="J10" s="16">
        <v>639</v>
      </c>
      <c r="K10" s="16">
        <v>374</v>
      </c>
      <c r="L10" s="16">
        <f t="shared" si="2"/>
        <v>442</v>
      </c>
      <c r="M10" s="20">
        <f t="shared" si="3"/>
        <v>0.42036199095022625</v>
      </c>
      <c r="N10" s="19">
        <v>0.52602700000000002</v>
      </c>
      <c r="O10" s="22">
        <v>100</v>
      </c>
      <c r="P10" s="13">
        <f t="shared" si="4"/>
        <v>-7.5565610859728502E-2</v>
      </c>
      <c r="Q10" s="13">
        <f t="shared" si="5"/>
        <v>0.91052529411764704</v>
      </c>
      <c r="R10" s="16">
        <f t="shared" si="6"/>
        <v>33234.173235294118</v>
      </c>
      <c r="S10">
        <f t="shared" si="7"/>
        <v>23263.921264705881</v>
      </c>
    </row>
    <row r="11" spans="1:19" x14ac:dyDescent="0.3">
      <c r="A11" t="s">
        <v>32</v>
      </c>
      <c r="B11" t="s">
        <v>273</v>
      </c>
      <c r="C11" t="s">
        <v>331</v>
      </c>
      <c r="D11">
        <v>1</v>
      </c>
      <c r="E11" s="16">
        <v>1100</v>
      </c>
      <c r="F11" s="14">
        <v>43.287700000000001</v>
      </c>
      <c r="G11" s="15">
        <f t="shared" si="0"/>
        <v>0.43287700000000001</v>
      </c>
      <c r="H11" s="18">
        <f t="shared" si="1"/>
        <v>5713.9764000000005</v>
      </c>
      <c r="I11" s="16">
        <v>114</v>
      </c>
      <c r="J11" s="16">
        <v>477</v>
      </c>
      <c r="K11" s="16">
        <v>386</v>
      </c>
      <c r="L11" s="16">
        <f t="shared" si="2"/>
        <v>363</v>
      </c>
      <c r="M11" s="20">
        <f t="shared" si="3"/>
        <v>0.69944903581267215</v>
      </c>
      <c r="N11" s="19">
        <v>0.43287700000000001</v>
      </c>
      <c r="O11" s="22">
        <v>100</v>
      </c>
      <c r="P11" s="13">
        <f t="shared" si="4"/>
        <v>6.9146005509641867E-2</v>
      </c>
      <c r="Q11" s="13">
        <f t="shared" si="5"/>
        <v>0.79595710743801651</v>
      </c>
      <c r="R11" s="16">
        <f t="shared" si="6"/>
        <v>29052.434421487604</v>
      </c>
      <c r="S11">
        <f t="shared" si="7"/>
        <v>20336.704095041321</v>
      </c>
    </row>
    <row r="12" spans="1:19" x14ac:dyDescent="0.3">
      <c r="A12" t="s">
        <v>33</v>
      </c>
      <c r="B12" t="s">
        <v>273</v>
      </c>
      <c r="C12" t="s">
        <v>331</v>
      </c>
      <c r="D12">
        <v>2</v>
      </c>
      <c r="E12" s="16">
        <v>1900</v>
      </c>
      <c r="F12" s="14">
        <v>69.588999999999999</v>
      </c>
      <c r="G12" s="15">
        <f t="shared" si="0"/>
        <v>0.69589000000000001</v>
      </c>
      <c r="H12" s="18">
        <f t="shared" si="1"/>
        <v>15866.291999999999</v>
      </c>
      <c r="I12" s="16">
        <v>80</v>
      </c>
      <c r="J12" s="16">
        <v>583</v>
      </c>
      <c r="K12" s="16">
        <v>212</v>
      </c>
      <c r="L12" s="16">
        <f t="shared" si="2"/>
        <v>503</v>
      </c>
      <c r="M12" s="20">
        <f t="shared" si="3"/>
        <v>0.30994035785288271</v>
      </c>
      <c r="N12" s="19">
        <v>0.69589000000000001</v>
      </c>
      <c r="O12" s="22">
        <v>100</v>
      </c>
      <c r="P12" s="13">
        <f t="shared" si="4"/>
        <v>0.13180914512922465</v>
      </c>
      <c r="Q12" s="13">
        <f t="shared" si="5"/>
        <v>0.74634669980119284</v>
      </c>
      <c r="R12" s="16">
        <f t="shared" si="6"/>
        <v>27241.654542743538</v>
      </c>
      <c r="S12">
        <f t="shared" si="7"/>
        <v>19069.158179920476</v>
      </c>
    </row>
    <row r="13" spans="1:19" x14ac:dyDescent="0.3">
      <c r="A13" t="s">
        <v>34</v>
      </c>
      <c r="B13" t="s">
        <v>273</v>
      </c>
      <c r="C13" t="s">
        <v>332</v>
      </c>
      <c r="D13">
        <v>1</v>
      </c>
      <c r="E13" s="16">
        <v>1800</v>
      </c>
      <c r="F13" s="14">
        <v>10.9589</v>
      </c>
      <c r="G13" s="15">
        <f t="shared" si="0"/>
        <v>0.10958899999999999</v>
      </c>
      <c r="H13" s="18">
        <f t="shared" si="1"/>
        <v>2367.1223999999997</v>
      </c>
      <c r="I13" s="16">
        <v>239</v>
      </c>
      <c r="J13" s="16">
        <v>1431</v>
      </c>
      <c r="K13" s="16">
        <v>969</v>
      </c>
      <c r="L13" s="16">
        <f t="shared" si="2"/>
        <v>1192</v>
      </c>
      <c r="M13" s="20">
        <f t="shared" si="3"/>
        <v>0.58993288590604032</v>
      </c>
      <c r="N13" s="19">
        <v>0.10958899999999999</v>
      </c>
      <c r="O13" s="22">
        <v>100</v>
      </c>
      <c r="P13" s="13">
        <f t="shared" si="4"/>
        <v>6.7114093959731542E-3</v>
      </c>
      <c r="Q13" s="13">
        <f t="shared" si="5"/>
        <v>0.84538657718120802</v>
      </c>
      <c r="R13" s="16">
        <f t="shared" si="6"/>
        <v>30856.610067114092</v>
      </c>
      <c r="S13">
        <f t="shared" si="7"/>
        <v>21599.627046979862</v>
      </c>
    </row>
    <row r="14" spans="1:19" x14ac:dyDescent="0.3">
      <c r="A14" t="s">
        <v>35</v>
      </c>
      <c r="B14" t="s">
        <v>273</v>
      </c>
      <c r="C14" t="s">
        <v>332</v>
      </c>
      <c r="D14">
        <v>2</v>
      </c>
      <c r="E14" s="16">
        <v>3200</v>
      </c>
      <c r="F14" s="14">
        <v>22.465800000000002</v>
      </c>
      <c r="G14" s="15">
        <f t="shared" si="0"/>
        <v>0.22465800000000002</v>
      </c>
      <c r="H14" s="18">
        <f t="shared" si="1"/>
        <v>8626.8672000000006</v>
      </c>
      <c r="I14" s="16">
        <v>236</v>
      </c>
      <c r="J14" s="16">
        <v>1533</v>
      </c>
      <c r="K14" s="16">
        <v>885</v>
      </c>
      <c r="L14" s="16">
        <f t="shared" si="2"/>
        <v>1297</v>
      </c>
      <c r="M14" s="20">
        <f t="shared" si="3"/>
        <v>0.50030840400925214</v>
      </c>
      <c r="N14" s="19">
        <v>0.22465800000000002</v>
      </c>
      <c r="O14" s="22">
        <v>100</v>
      </c>
      <c r="P14" s="13">
        <f t="shared" si="4"/>
        <v>1.6114109483423286E-2</v>
      </c>
      <c r="Q14" s="13">
        <f t="shared" si="5"/>
        <v>0.83794245952197377</v>
      </c>
      <c r="R14" s="16">
        <f t="shared" si="6"/>
        <v>30584.899772552042</v>
      </c>
      <c r="S14">
        <f t="shared" si="7"/>
        <v>21409.42984078643</v>
      </c>
    </row>
    <row r="15" spans="1:19" x14ac:dyDescent="0.3">
      <c r="A15" t="s">
        <v>36</v>
      </c>
      <c r="B15" t="s">
        <v>274</v>
      </c>
      <c r="C15" t="s">
        <v>331</v>
      </c>
      <c r="D15">
        <v>1</v>
      </c>
      <c r="E15" s="16">
        <v>1000</v>
      </c>
      <c r="F15" s="14">
        <v>21.9178</v>
      </c>
      <c r="G15" s="15">
        <f t="shared" si="0"/>
        <v>0.21917799999999998</v>
      </c>
      <c r="H15" s="18">
        <f t="shared" si="1"/>
        <v>2630.136</v>
      </c>
      <c r="I15" s="16">
        <v>138</v>
      </c>
      <c r="J15" s="16">
        <v>550</v>
      </c>
      <c r="K15" s="16">
        <v>287</v>
      </c>
      <c r="L15" s="16">
        <f t="shared" si="2"/>
        <v>412</v>
      </c>
      <c r="M15" s="20">
        <f t="shared" si="3"/>
        <v>0.38932038834951455</v>
      </c>
      <c r="N15" s="19">
        <v>0.21917799999999998</v>
      </c>
      <c r="O15" s="22">
        <v>100</v>
      </c>
      <c r="P15" s="13">
        <f t="shared" si="4"/>
        <v>2.621359223300971E-2</v>
      </c>
      <c r="Q15" s="13">
        <f t="shared" si="5"/>
        <v>0.82994669902912621</v>
      </c>
      <c r="R15" s="16">
        <f t="shared" si="6"/>
        <v>30293.054514563108</v>
      </c>
      <c r="S15">
        <f t="shared" si="7"/>
        <v>21205.138160194176</v>
      </c>
    </row>
    <row r="16" spans="1:19" x14ac:dyDescent="0.3">
      <c r="A16" t="s">
        <v>37</v>
      </c>
      <c r="B16" t="s">
        <v>270</v>
      </c>
      <c r="C16" t="s">
        <v>332</v>
      </c>
      <c r="D16">
        <v>1</v>
      </c>
      <c r="E16" s="16">
        <v>1000</v>
      </c>
      <c r="F16" s="14">
        <v>39.178100000000001</v>
      </c>
      <c r="G16" s="15">
        <f t="shared" si="0"/>
        <v>0.39178099999999999</v>
      </c>
      <c r="H16" s="18">
        <f t="shared" si="1"/>
        <v>4701.3720000000003</v>
      </c>
      <c r="I16" s="16">
        <v>116</v>
      </c>
      <c r="J16" s="16">
        <v>296</v>
      </c>
      <c r="K16" s="16">
        <v>206</v>
      </c>
      <c r="L16" s="16">
        <f t="shared" si="2"/>
        <v>180</v>
      </c>
      <c r="M16" s="20">
        <f t="shared" si="3"/>
        <v>0.5</v>
      </c>
      <c r="N16" s="19">
        <v>0.39178099999999999</v>
      </c>
      <c r="O16" s="22">
        <v>100</v>
      </c>
      <c r="P16" s="13">
        <f t="shared" si="4"/>
        <v>2.8888888888888888E-2</v>
      </c>
      <c r="Q16" s="13">
        <f t="shared" si="5"/>
        <v>0.82782866666666666</v>
      </c>
      <c r="R16" s="16">
        <f t="shared" si="6"/>
        <v>30215.746333333333</v>
      </c>
      <c r="S16">
        <f t="shared" si="7"/>
        <v>21151.022433333332</v>
      </c>
    </row>
    <row r="17" spans="1:19" x14ac:dyDescent="0.3">
      <c r="A17" t="s">
        <v>38</v>
      </c>
      <c r="B17" t="s">
        <v>274</v>
      </c>
      <c r="C17" t="s">
        <v>331</v>
      </c>
      <c r="D17">
        <v>2</v>
      </c>
      <c r="E17" s="16">
        <v>1300</v>
      </c>
      <c r="F17" s="14">
        <v>53.698599999999999</v>
      </c>
      <c r="G17" s="15">
        <f t="shared" si="0"/>
        <v>0.53698599999999996</v>
      </c>
      <c r="H17" s="18">
        <f t="shared" si="1"/>
        <v>8376.9815999999992</v>
      </c>
      <c r="I17" s="16">
        <v>175</v>
      </c>
      <c r="J17" s="16">
        <v>917</v>
      </c>
      <c r="K17" s="16">
        <v>462</v>
      </c>
      <c r="L17" s="16">
        <f t="shared" si="2"/>
        <v>742</v>
      </c>
      <c r="M17" s="20">
        <f t="shared" si="3"/>
        <v>0.40943396226415096</v>
      </c>
      <c r="N17" s="19">
        <v>0.53698599999999996</v>
      </c>
      <c r="O17" s="22">
        <v>100</v>
      </c>
      <c r="P17" s="13">
        <f t="shared" si="4"/>
        <v>1.9137466307277629E-2</v>
      </c>
      <c r="Q17" s="13">
        <f t="shared" si="5"/>
        <v>0.83554886792452832</v>
      </c>
      <c r="R17" s="16">
        <f t="shared" si="6"/>
        <v>30497.533679245284</v>
      </c>
      <c r="S17">
        <f t="shared" si="7"/>
        <v>21348.273575471696</v>
      </c>
    </row>
    <row r="18" spans="1:19" x14ac:dyDescent="0.3">
      <c r="A18" t="s">
        <v>39</v>
      </c>
      <c r="B18" t="s">
        <v>274</v>
      </c>
      <c r="C18" t="s">
        <v>332</v>
      </c>
      <c r="D18">
        <v>1</v>
      </c>
      <c r="E18" s="16">
        <v>1200</v>
      </c>
      <c r="F18" s="14">
        <v>51.232900000000001</v>
      </c>
      <c r="G18" s="15">
        <f t="shared" si="0"/>
        <v>0.51232900000000003</v>
      </c>
      <c r="H18" s="18">
        <f t="shared" si="1"/>
        <v>7377.5376000000006</v>
      </c>
      <c r="I18" s="16">
        <v>130</v>
      </c>
      <c r="J18" s="16">
        <v>821</v>
      </c>
      <c r="K18" s="16">
        <v>389</v>
      </c>
      <c r="L18" s="16">
        <f t="shared" si="2"/>
        <v>691</v>
      </c>
      <c r="M18" s="20">
        <f t="shared" si="3"/>
        <v>0.39985528219971056</v>
      </c>
      <c r="N18" s="19">
        <v>0.51232900000000003</v>
      </c>
      <c r="O18" s="22">
        <v>100</v>
      </c>
      <c r="P18" s="13">
        <f t="shared" si="4"/>
        <v>6.5267727930535452E-2</v>
      </c>
      <c r="Q18" s="13">
        <f t="shared" si="5"/>
        <v>0.79902753979739505</v>
      </c>
      <c r="R18" s="16">
        <f t="shared" si="6"/>
        <v>29164.50520260492</v>
      </c>
      <c r="S18">
        <f t="shared" si="7"/>
        <v>20415.153641823443</v>
      </c>
    </row>
    <row r="19" spans="1:19" x14ac:dyDescent="0.3">
      <c r="A19" t="s">
        <v>40</v>
      </c>
      <c r="B19" t="s">
        <v>274</v>
      </c>
      <c r="C19" t="s">
        <v>332</v>
      </c>
      <c r="D19">
        <v>2</v>
      </c>
      <c r="E19" s="16">
        <v>1600</v>
      </c>
      <c r="F19" s="14">
        <v>36.164400000000001</v>
      </c>
      <c r="G19" s="15">
        <f t="shared" si="0"/>
        <v>0.36164400000000002</v>
      </c>
      <c r="H19" s="18">
        <f t="shared" si="1"/>
        <v>6943.5648000000001</v>
      </c>
      <c r="I19" s="16">
        <v>241</v>
      </c>
      <c r="J19" s="16">
        <v>866</v>
      </c>
      <c r="K19" s="16">
        <v>678</v>
      </c>
      <c r="L19" s="16">
        <f t="shared" si="2"/>
        <v>625</v>
      </c>
      <c r="M19" s="20">
        <f t="shared" si="3"/>
        <v>0.65935999999999995</v>
      </c>
      <c r="N19" s="19">
        <v>0.36164400000000002</v>
      </c>
      <c r="O19" s="22">
        <v>100</v>
      </c>
      <c r="P19" s="13">
        <f t="shared" si="4"/>
        <v>-8.0479999999999996E-2</v>
      </c>
      <c r="Q19" s="13">
        <f t="shared" si="5"/>
        <v>0.914416016</v>
      </c>
      <c r="R19" s="16">
        <f t="shared" si="6"/>
        <v>33376.184584000002</v>
      </c>
      <c r="S19">
        <f t="shared" si="7"/>
        <v>23363.329208800002</v>
      </c>
    </row>
    <row r="20" spans="1:19" x14ac:dyDescent="0.3">
      <c r="A20" t="s">
        <v>41</v>
      </c>
      <c r="B20" t="s">
        <v>275</v>
      </c>
      <c r="C20" t="s">
        <v>331</v>
      </c>
      <c r="D20">
        <v>1</v>
      </c>
      <c r="E20" s="16">
        <v>800</v>
      </c>
      <c r="F20" s="14">
        <v>84.383600000000001</v>
      </c>
      <c r="G20" s="15">
        <f t="shared" si="0"/>
        <v>0.84383600000000003</v>
      </c>
      <c r="H20" s="18">
        <f t="shared" si="1"/>
        <v>8100.8256000000001</v>
      </c>
      <c r="I20" s="16">
        <v>134</v>
      </c>
      <c r="J20" s="16">
        <v>288</v>
      </c>
      <c r="K20" s="16">
        <v>163</v>
      </c>
      <c r="L20" s="16">
        <f t="shared" si="2"/>
        <v>154</v>
      </c>
      <c r="M20" s="20">
        <f t="shared" si="3"/>
        <v>0.25064935064935062</v>
      </c>
      <c r="N20" s="19">
        <v>0.84383600000000003</v>
      </c>
      <c r="O20" s="22">
        <v>100</v>
      </c>
      <c r="P20" s="13">
        <f t="shared" si="4"/>
        <v>-7.6623376623376621E-2</v>
      </c>
      <c r="Q20" s="13">
        <f t="shared" si="5"/>
        <v>0.91136272727272727</v>
      </c>
      <c r="R20" s="16">
        <f t="shared" si="6"/>
        <v>33264.739545454548</v>
      </c>
      <c r="S20">
        <f t="shared" si="7"/>
        <v>23285.317681818182</v>
      </c>
    </row>
    <row r="21" spans="1:19" x14ac:dyDescent="0.3">
      <c r="A21" t="s">
        <v>42</v>
      </c>
      <c r="B21" t="s">
        <v>275</v>
      </c>
      <c r="C21" t="s">
        <v>331</v>
      </c>
      <c r="D21">
        <v>2</v>
      </c>
      <c r="E21" s="16">
        <v>1200</v>
      </c>
      <c r="F21" s="14">
        <v>91.506799999999998</v>
      </c>
      <c r="G21" s="15">
        <f t="shared" si="0"/>
        <v>0.91506799999999999</v>
      </c>
      <c r="H21" s="18">
        <f t="shared" si="1"/>
        <v>13176.9792</v>
      </c>
      <c r="I21" s="16">
        <v>234</v>
      </c>
      <c r="J21" s="16">
        <v>794</v>
      </c>
      <c r="K21" s="16">
        <v>374</v>
      </c>
      <c r="L21" s="16">
        <f t="shared" si="2"/>
        <v>560</v>
      </c>
      <c r="M21" s="20">
        <f t="shared" si="3"/>
        <v>0.3</v>
      </c>
      <c r="N21" s="19">
        <v>0.91506799999999999</v>
      </c>
      <c r="O21" s="22">
        <v>100</v>
      </c>
      <c r="P21" s="13">
        <f t="shared" si="4"/>
        <v>-9.1428571428571428E-2</v>
      </c>
      <c r="Q21" s="13">
        <f t="shared" si="5"/>
        <v>0.92308400000000002</v>
      </c>
      <c r="R21" s="16">
        <f t="shared" si="6"/>
        <v>33692.565999999999</v>
      </c>
      <c r="S21">
        <f t="shared" si="7"/>
        <v>23584.796199999997</v>
      </c>
    </row>
    <row r="22" spans="1:19" x14ac:dyDescent="0.3">
      <c r="A22" t="s">
        <v>43</v>
      </c>
      <c r="B22" t="s">
        <v>275</v>
      </c>
      <c r="C22" t="s">
        <v>332</v>
      </c>
      <c r="D22">
        <v>1</v>
      </c>
      <c r="E22" s="16">
        <v>900</v>
      </c>
      <c r="F22" s="14">
        <v>43.0137</v>
      </c>
      <c r="G22" s="15">
        <f t="shared" si="0"/>
        <v>0.43013699999999999</v>
      </c>
      <c r="H22" s="18">
        <f t="shared" si="1"/>
        <v>4645.4795999999997</v>
      </c>
      <c r="I22" s="16">
        <v>252</v>
      </c>
      <c r="J22" s="16">
        <v>547</v>
      </c>
      <c r="K22" s="16">
        <v>444</v>
      </c>
      <c r="L22" s="16">
        <f t="shared" si="2"/>
        <v>295</v>
      </c>
      <c r="M22" s="20">
        <f t="shared" si="3"/>
        <v>0.6206779661016949</v>
      </c>
      <c r="N22" s="19">
        <v>0.43013699999999999</v>
      </c>
      <c r="O22" s="22">
        <v>100</v>
      </c>
      <c r="P22" s="13">
        <f t="shared" si="4"/>
        <v>-0.31220338983050849</v>
      </c>
      <c r="Q22" s="13">
        <f t="shared" si="5"/>
        <v>1.0978714237288136</v>
      </c>
      <c r="R22" s="16">
        <f t="shared" si="6"/>
        <v>40072.3069661017</v>
      </c>
      <c r="S22">
        <f t="shared" si="7"/>
        <v>28050.614876271189</v>
      </c>
    </row>
    <row r="23" spans="1:19" x14ac:dyDescent="0.3">
      <c r="A23" t="s">
        <v>44</v>
      </c>
      <c r="B23" t="s">
        <v>275</v>
      </c>
      <c r="C23" t="s">
        <v>332</v>
      </c>
      <c r="D23">
        <v>2</v>
      </c>
      <c r="E23" s="16">
        <v>1100</v>
      </c>
      <c r="F23" s="14">
        <v>48.219200000000001</v>
      </c>
      <c r="G23" s="15">
        <f t="shared" si="0"/>
        <v>0.48219200000000001</v>
      </c>
      <c r="H23" s="18">
        <f t="shared" si="1"/>
        <v>6364.9344000000001</v>
      </c>
      <c r="I23" s="16">
        <v>246</v>
      </c>
      <c r="J23" s="16">
        <v>616</v>
      </c>
      <c r="K23" s="16">
        <v>426</v>
      </c>
      <c r="L23" s="16">
        <f t="shared" si="2"/>
        <v>370</v>
      </c>
      <c r="M23" s="20">
        <f t="shared" si="3"/>
        <v>0.48918918918918919</v>
      </c>
      <c r="N23" s="19">
        <v>0.48219200000000001</v>
      </c>
      <c r="O23" s="22">
        <v>100</v>
      </c>
      <c r="P23" s="13">
        <f t="shared" si="4"/>
        <v>-0.21567567567567567</v>
      </c>
      <c r="Q23" s="13">
        <f t="shared" si="5"/>
        <v>1.0214504324324325</v>
      </c>
      <c r="R23" s="16">
        <f t="shared" si="6"/>
        <v>37282.940783783786</v>
      </c>
      <c r="S23">
        <f t="shared" si="7"/>
        <v>26098.058548648649</v>
      </c>
    </row>
    <row r="24" spans="1:19" x14ac:dyDescent="0.3">
      <c r="A24" t="s">
        <v>45</v>
      </c>
      <c r="B24" t="s">
        <v>276</v>
      </c>
      <c r="C24" t="s">
        <v>331</v>
      </c>
      <c r="D24">
        <v>1</v>
      </c>
      <c r="E24" s="16">
        <v>1000</v>
      </c>
      <c r="F24" s="14">
        <v>49.0411</v>
      </c>
      <c r="G24" s="15">
        <f t="shared" si="0"/>
        <v>0.49041099999999999</v>
      </c>
      <c r="H24" s="18">
        <f t="shared" si="1"/>
        <v>5884.9319999999998</v>
      </c>
      <c r="I24" s="16">
        <v>171</v>
      </c>
      <c r="J24" s="16">
        <v>457</v>
      </c>
      <c r="K24" s="16">
        <v>332</v>
      </c>
      <c r="L24" s="16">
        <f t="shared" si="2"/>
        <v>286</v>
      </c>
      <c r="M24" s="20">
        <f t="shared" si="3"/>
        <v>0.55034965034965033</v>
      </c>
      <c r="N24" s="19">
        <v>0.49041099999999999</v>
      </c>
      <c r="O24" s="22">
        <v>100</v>
      </c>
      <c r="P24" s="13">
        <f t="shared" si="4"/>
        <v>-9.8601398601398604E-2</v>
      </c>
      <c r="Q24" s="13">
        <f t="shared" si="5"/>
        <v>0.92876272727272724</v>
      </c>
      <c r="R24" s="16">
        <f t="shared" si="6"/>
        <v>33899.839545454546</v>
      </c>
      <c r="S24">
        <f t="shared" si="7"/>
        <v>23729.887681818182</v>
      </c>
    </row>
    <row r="25" spans="1:19" x14ac:dyDescent="0.3">
      <c r="A25" t="s">
        <v>46</v>
      </c>
      <c r="B25" t="s">
        <v>276</v>
      </c>
      <c r="C25" t="s">
        <v>331</v>
      </c>
      <c r="D25">
        <v>2</v>
      </c>
      <c r="E25" s="16">
        <v>1400</v>
      </c>
      <c r="F25" s="14">
        <v>52.328800000000001</v>
      </c>
      <c r="G25" s="15">
        <f t="shared" si="0"/>
        <v>0.52328799999999998</v>
      </c>
      <c r="H25" s="18">
        <f t="shared" si="1"/>
        <v>8791.2384000000002</v>
      </c>
      <c r="I25" s="16">
        <v>262</v>
      </c>
      <c r="J25" s="16">
        <v>567</v>
      </c>
      <c r="K25" s="16">
        <v>430</v>
      </c>
      <c r="L25" s="16">
        <f t="shared" si="2"/>
        <v>305</v>
      </c>
      <c r="M25" s="20">
        <f t="shared" si="3"/>
        <v>0.54065573770491804</v>
      </c>
      <c r="N25" s="19">
        <v>0.52328799999999998</v>
      </c>
      <c r="O25" s="22">
        <v>100</v>
      </c>
      <c r="P25" s="13">
        <f t="shared" si="4"/>
        <v>-0.32491803278688525</v>
      </c>
      <c r="Q25" s="13">
        <f t="shared" si="5"/>
        <v>1.1079376065573769</v>
      </c>
      <c r="R25" s="16">
        <f t="shared" si="6"/>
        <v>40439.722639344262</v>
      </c>
      <c r="S25">
        <f t="shared" si="7"/>
        <v>28307.805847540982</v>
      </c>
    </row>
    <row r="26" spans="1:19" x14ac:dyDescent="0.3">
      <c r="A26" t="s">
        <v>47</v>
      </c>
      <c r="B26" t="s">
        <v>276</v>
      </c>
      <c r="C26" t="s">
        <v>332</v>
      </c>
      <c r="D26">
        <v>1</v>
      </c>
      <c r="E26" s="16">
        <v>1500</v>
      </c>
      <c r="F26" s="14">
        <v>44.9315</v>
      </c>
      <c r="G26" s="15">
        <f t="shared" si="0"/>
        <v>0.44931500000000002</v>
      </c>
      <c r="H26" s="18">
        <f t="shared" si="1"/>
        <v>8087.67</v>
      </c>
      <c r="I26" s="16">
        <v>229</v>
      </c>
      <c r="J26" s="16">
        <v>859</v>
      </c>
      <c r="K26" s="16">
        <v>662</v>
      </c>
      <c r="L26" s="16">
        <f t="shared" si="2"/>
        <v>630</v>
      </c>
      <c r="M26" s="20">
        <f t="shared" si="3"/>
        <v>0.64984126984126989</v>
      </c>
      <c r="N26" s="19">
        <v>0.44931500000000002</v>
      </c>
      <c r="O26" s="22">
        <v>100</v>
      </c>
      <c r="P26" s="13">
        <f t="shared" si="4"/>
        <v>-6.3809523809523816E-2</v>
      </c>
      <c r="Q26" s="13">
        <f t="shared" si="5"/>
        <v>0.90121799999999996</v>
      </c>
      <c r="R26" s="16">
        <f t="shared" si="6"/>
        <v>32894.457000000002</v>
      </c>
      <c r="S26">
        <f t="shared" si="7"/>
        <v>23026.119900000002</v>
      </c>
    </row>
    <row r="27" spans="1:19" x14ac:dyDescent="0.3">
      <c r="A27" t="s">
        <v>48</v>
      </c>
      <c r="B27" t="s">
        <v>270</v>
      </c>
      <c r="C27" t="s">
        <v>332</v>
      </c>
      <c r="D27">
        <v>2</v>
      </c>
      <c r="E27" s="16">
        <v>1300</v>
      </c>
      <c r="F27" s="14">
        <v>66.0274</v>
      </c>
      <c r="G27" s="15">
        <f t="shared" si="0"/>
        <v>0.66027400000000003</v>
      </c>
      <c r="H27" s="18">
        <f t="shared" si="1"/>
        <v>10300.2744</v>
      </c>
      <c r="I27" s="16">
        <v>136</v>
      </c>
      <c r="J27" s="16">
        <v>336</v>
      </c>
      <c r="K27" s="16">
        <v>186</v>
      </c>
      <c r="L27" s="16">
        <f t="shared" si="2"/>
        <v>200</v>
      </c>
      <c r="M27" s="20">
        <f t="shared" si="3"/>
        <v>0.3</v>
      </c>
      <c r="N27" s="19">
        <v>0.66027400000000003</v>
      </c>
      <c r="O27" s="22">
        <v>100</v>
      </c>
      <c r="P27" s="13">
        <f t="shared" si="4"/>
        <v>-4.3999999999999997E-2</v>
      </c>
      <c r="Q27" s="13">
        <f t="shared" si="5"/>
        <v>0.88553480000000007</v>
      </c>
      <c r="R27" s="16">
        <f t="shared" si="6"/>
        <v>32322.020200000003</v>
      </c>
      <c r="S27">
        <f t="shared" si="7"/>
        <v>22625.414140000001</v>
      </c>
    </row>
    <row r="28" spans="1:19" x14ac:dyDescent="0.3">
      <c r="A28" t="s">
        <v>49</v>
      </c>
      <c r="B28" t="s">
        <v>276</v>
      </c>
      <c r="C28" t="s">
        <v>332</v>
      </c>
      <c r="D28">
        <v>2</v>
      </c>
      <c r="E28" s="16">
        <v>1600</v>
      </c>
      <c r="F28" s="14">
        <v>48.767099999999999</v>
      </c>
      <c r="G28" s="15">
        <f t="shared" si="0"/>
        <v>0.48767099999999997</v>
      </c>
      <c r="H28" s="18">
        <f t="shared" si="1"/>
        <v>9363.2831999999999</v>
      </c>
      <c r="I28" s="16">
        <v>449</v>
      </c>
      <c r="J28" s="16">
        <v>899</v>
      </c>
      <c r="K28" s="16">
        <v>696</v>
      </c>
      <c r="L28" s="16">
        <f t="shared" si="2"/>
        <v>450</v>
      </c>
      <c r="M28" s="20">
        <f t="shared" si="3"/>
        <v>0.5391111111111111</v>
      </c>
      <c r="N28" s="19">
        <v>0.48767099999999997</v>
      </c>
      <c r="O28" s="22">
        <v>100</v>
      </c>
      <c r="P28" s="13">
        <f t="shared" si="4"/>
        <v>-0.52044444444444449</v>
      </c>
      <c r="Q28" s="13">
        <f t="shared" si="5"/>
        <v>1.2627358666666666</v>
      </c>
      <c r="R28" s="16">
        <f t="shared" si="6"/>
        <v>46089.859133333332</v>
      </c>
      <c r="S28">
        <f t="shared" si="7"/>
        <v>32262.90139333333</v>
      </c>
    </row>
    <row r="29" spans="1:19" x14ac:dyDescent="0.3">
      <c r="A29" t="s">
        <v>50</v>
      </c>
      <c r="B29" t="s">
        <v>277</v>
      </c>
      <c r="C29" t="s">
        <v>331</v>
      </c>
      <c r="D29">
        <v>1</v>
      </c>
      <c r="E29" s="16">
        <v>600</v>
      </c>
      <c r="F29" s="14">
        <v>43.835599999999999</v>
      </c>
      <c r="G29" s="15">
        <f t="shared" si="0"/>
        <v>0.43835599999999997</v>
      </c>
      <c r="H29" s="18">
        <f t="shared" si="1"/>
        <v>3156.1632</v>
      </c>
      <c r="I29" s="16">
        <v>132</v>
      </c>
      <c r="J29" s="16">
        <v>226</v>
      </c>
      <c r="K29" s="16">
        <v>182</v>
      </c>
      <c r="L29" s="16">
        <f t="shared" si="2"/>
        <v>94</v>
      </c>
      <c r="M29" s="20">
        <f t="shared" si="3"/>
        <v>0.52553191489361706</v>
      </c>
      <c r="N29" s="19">
        <v>0.43835599999999997</v>
      </c>
      <c r="O29" s="22">
        <v>100</v>
      </c>
      <c r="P29" s="13">
        <f t="shared" si="4"/>
        <v>-0.17234042553191489</v>
      </c>
      <c r="Q29" s="13">
        <f t="shared" si="5"/>
        <v>0.98714191489361702</v>
      </c>
      <c r="R29" s="16">
        <f t="shared" si="6"/>
        <v>36030.679893617023</v>
      </c>
      <c r="S29">
        <f t="shared" si="7"/>
        <v>25221.475925531915</v>
      </c>
    </row>
    <row r="30" spans="1:19" x14ac:dyDescent="0.3">
      <c r="A30" t="s">
        <v>51</v>
      </c>
      <c r="B30" t="s">
        <v>277</v>
      </c>
      <c r="C30" t="s">
        <v>331</v>
      </c>
      <c r="D30">
        <v>2</v>
      </c>
      <c r="E30" s="16">
        <v>800</v>
      </c>
      <c r="F30" s="14">
        <v>53.150700000000001</v>
      </c>
      <c r="G30" s="15">
        <f t="shared" si="0"/>
        <v>0.53150699999999995</v>
      </c>
      <c r="H30" s="18">
        <f t="shared" si="1"/>
        <v>5102.4671999999991</v>
      </c>
      <c r="I30" s="16">
        <v>157</v>
      </c>
      <c r="J30" s="16">
        <v>340</v>
      </c>
      <c r="K30" s="16">
        <v>241</v>
      </c>
      <c r="L30" s="16">
        <f t="shared" si="2"/>
        <v>183</v>
      </c>
      <c r="M30" s="20">
        <f t="shared" si="3"/>
        <v>0.46721311475409838</v>
      </c>
      <c r="N30" s="19">
        <v>0.53150699999999995</v>
      </c>
      <c r="O30" s="22">
        <v>100</v>
      </c>
      <c r="P30" s="13">
        <f t="shared" si="4"/>
        <v>-0.14918032786885246</v>
      </c>
      <c r="Q30" s="13">
        <f t="shared" si="5"/>
        <v>0.96880606557377047</v>
      </c>
      <c r="R30" s="16">
        <f t="shared" si="6"/>
        <v>35361.421393442623</v>
      </c>
      <c r="S30">
        <f t="shared" si="7"/>
        <v>24752.994975409834</v>
      </c>
    </row>
    <row r="31" spans="1:19" x14ac:dyDescent="0.3">
      <c r="A31" t="s">
        <v>52</v>
      </c>
      <c r="B31" t="s">
        <v>277</v>
      </c>
      <c r="C31" t="s">
        <v>332</v>
      </c>
      <c r="D31">
        <v>1</v>
      </c>
      <c r="E31" s="16">
        <v>700</v>
      </c>
      <c r="F31" s="14">
        <v>13.9726</v>
      </c>
      <c r="G31" s="15">
        <f t="shared" si="0"/>
        <v>0.13972599999999999</v>
      </c>
      <c r="H31" s="18">
        <f t="shared" si="1"/>
        <v>1173.6984</v>
      </c>
      <c r="I31" s="16">
        <v>215</v>
      </c>
      <c r="J31" s="16">
        <v>377</v>
      </c>
      <c r="K31" s="16">
        <v>363</v>
      </c>
      <c r="L31" s="16">
        <f t="shared" si="2"/>
        <v>162</v>
      </c>
      <c r="M31" s="20">
        <f t="shared" si="3"/>
        <v>0.83086419753086416</v>
      </c>
      <c r="N31" s="19">
        <v>0.13972599999999999</v>
      </c>
      <c r="O31" s="22">
        <v>100</v>
      </c>
      <c r="P31" s="13">
        <f t="shared" si="4"/>
        <v>-0.46790123456790123</v>
      </c>
      <c r="Q31" s="13">
        <f t="shared" si="5"/>
        <v>1.2211374074074075</v>
      </c>
      <c r="R31" s="16">
        <f t="shared" si="6"/>
        <v>44571.515370370376</v>
      </c>
      <c r="S31">
        <f t="shared" si="7"/>
        <v>31200.060759259261</v>
      </c>
    </row>
    <row r="32" spans="1:19" x14ac:dyDescent="0.3">
      <c r="A32" t="s">
        <v>53</v>
      </c>
      <c r="B32" t="s">
        <v>277</v>
      </c>
      <c r="C32" t="s">
        <v>332</v>
      </c>
      <c r="D32">
        <v>2</v>
      </c>
      <c r="E32" s="16">
        <v>1000</v>
      </c>
      <c r="F32" s="14">
        <v>46.849299999999999</v>
      </c>
      <c r="G32" s="15">
        <f t="shared" si="0"/>
        <v>0.46849299999999999</v>
      </c>
      <c r="H32" s="18">
        <f t="shared" si="1"/>
        <v>5621.9160000000002</v>
      </c>
      <c r="I32" s="16">
        <v>202</v>
      </c>
      <c r="J32" s="16">
        <v>374</v>
      </c>
      <c r="K32" s="16">
        <v>301</v>
      </c>
      <c r="L32" s="16">
        <f t="shared" si="2"/>
        <v>172</v>
      </c>
      <c r="M32" s="20">
        <f t="shared" si="3"/>
        <v>0.56046511627906981</v>
      </c>
      <c r="N32" s="19">
        <v>0.46849299999999999</v>
      </c>
      <c r="O32" s="22">
        <v>100</v>
      </c>
      <c r="P32" s="13">
        <f t="shared" si="4"/>
        <v>-0.37441860465116278</v>
      </c>
      <c r="Q32" s="13">
        <f t="shared" si="5"/>
        <v>1.1471272093023255</v>
      </c>
      <c r="R32" s="16">
        <f t="shared" si="6"/>
        <v>41870.143139534877</v>
      </c>
      <c r="S32">
        <f t="shared" si="7"/>
        <v>29309.100197674412</v>
      </c>
    </row>
    <row r="33" spans="1:19" x14ac:dyDescent="0.3">
      <c r="A33" t="s">
        <v>54</v>
      </c>
      <c r="B33" t="s">
        <v>278</v>
      </c>
      <c r="C33" t="s">
        <v>331</v>
      </c>
      <c r="D33">
        <v>1</v>
      </c>
      <c r="E33" s="16">
        <v>700</v>
      </c>
      <c r="F33" s="14">
        <v>50.137</v>
      </c>
      <c r="G33" s="15">
        <f t="shared" si="0"/>
        <v>0.50136999999999998</v>
      </c>
      <c r="H33" s="18">
        <f t="shared" si="1"/>
        <v>4211.5079999999998</v>
      </c>
      <c r="I33" s="16">
        <v>94</v>
      </c>
      <c r="J33" s="16">
        <v>356</v>
      </c>
      <c r="K33" s="16">
        <v>212</v>
      </c>
      <c r="L33" s="16">
        <f t="shared" si="2"/>
        <v>262</v>
      </c>
      <c r="M33" s="20">
        <f t="shared" si="3"/>
        <v>0.46030534351145036</v>
      </c>
      <c r="N33" s="19">
        <v>0.50136999999999998</v>
      </c>
      <c r="O33" s="22">
        <v>100</v>
      </c>
      <c r="P33" s="13">
        <f t="shared" si="4"/>
        <v>0.1183206106870229</v>
      </c>
      <c r="Q33" s="13">
        <f t="shared" si="5"/>
        <v>0.75702557251908398</v>
      </c>
      <c r="R33" s="16">
        <f t="shared" si="6"/>
        <v>27631.433396946566</v>
      </c>
      <c r="S33">
        <f t="shared" si="7"/>
        <v>19342.003377862595</v>
      </c>
    </row>
    <row r="34" spans="1:19" x14ac:dyDescent="0.3">
      <c r="A34" t="s">
        <v>55</v>
      </c>
      <c r="B34" t="s">
        <v>278</v>
      </c>
      <c r="C34" t="s">
        <v>331</v>
      </c>
      <c r="D34">
        <v>2</v>
      </c>
      <c r="E34" s="16">
        <v>900</v>
      </c>
      <c r="F34" s="14">
        <v>30.684899999999999</v>
      </c>
      <c r="G34" s="15">
        <f t="shared" si="0"/>
        <v>0.30684899999999998</v>
      </c>
      <c r="H34" s="18">
        <f t="shared" si="1"/>
        <v>3313.9692</v>
      </c>
      <c r="I34" s="16">
        <v>69</v>
      </c>
      <c r="J34" s="16">
        <v>485</v>
      </c>
      <c r="K34" s="16">
        <v>340</v>
      </c>
      <c r="L34" s="16">
        <f t="shared" si="2"/>
        <v>416</v>
      </c>
      <c r="M34" s="20">
        <f t="shared" si="3"/>
        <v>0.62115384615384617</v>
      </c>
      <c r="N34" s="19">
        <v>0.30684899999999998</v>
      </c>
      <c r="O34" s="22">
        <v>100</v>
      </c>
      <c r="P34" s="13">
        <f t="shared" si="4"/>
        <v>0.1596153846153846</v>
      </c>
      <c r="Q34" s="13">
        <f t="shared" si="5"/>
        <v>0.72433250000000005</v>
      </c>
      <c r="R34" s="16">
        <f t="shared" si="6"/>
        <v>26438.136250000003</v>
      </c>
      <c r="S34">
        <f t="shared" si="7"/>
        <v>18506.695374999999</v>
      </c>
    </row>
    <row r="35" spans="1:19" x14ac:dyDescent="0.3">
      <c r="A35" t="s">
        <v>56</v>
      </c>
      <c r="B35" t="s">
        <v>278</v>
      </c>
      <c r="C35" t="s">
        <v>332</v>
      </c>
      <c r="D35">
        <v>1</v>
      </c>
      <c r="E35" s="16">
        <v>1000</v>
      </c>
      <c r="F35" s="14">
        <v>52.0548</v>
      </c>
      <c r="G35" s="15">
        <f t="shared" si="0"/>
        <v>0.52054800000000001</v>
      </c>
      <c r="H35" s="18">
        <f t="shared" si="1"/>
        <v>6246.576</v>
      </c>
      <c r="I35" s="16">
        <v>84</v>
      </c>
      <c r="J35" s="16">
        <v>376</v>
      </c>
      <c r="K35" s="16">
        <v>266</v>
      </c>
      <c r="L35" s="16">
        <f t="shared" si="2"/>
        <v>292</v>
      </c>
      <c r="M35" s="20">
        <f t="shared" si="3"/>
        <v>0.59863013698630141</v>
      </c>
      <c r="N35" s="19">
        <v>0.52054800000000001</v>
      </c>
      <c r="O35" s="22">
        <v>100</v>
      </c>
      <c r="P35" s="13">
        <f t="shared" si="4"/>
        <v>0.14383561643835616</v>
      </c>
      <c r="Q35" s="13">
        <f t="shared" si="5"/>
        <v>0.73682534246575349</v>
      </c>
      <c r="R35" s="16">
        <f t="shared" si="6"/>
        <v>26894.125000000004</v>
      </c>
      <c r="S35">
        <f t="shared" si="7"/>
        <v>18825.887500000001</v>
      </c>
    </row>
    <row r="36" spans="1:19" x14ac:dyDescent="0.3">
      <c r="A36" t="s">
        <v>57</v>
      </c>
      <c r="B36" t="s">
        <v>278</v>
      </c>
      <c r="C36" t="s">
        <v>332</v>
      </c>
      <c r="D36">
        <v>2</v>
      </c>
      <c r="E36" s="16">
        <v>1200</v>
      </c>
      <c r="F36" s="14">
        <v>12.8767</v>
      </c>
      <c r="G36" s="15">
        <f t="shared" si="0"/>
        <v>0.12876699999999999</v>
      </c>
      <c r="H36" s="18">
        <f t="shared" si="1"/>
        <v>1854.2447999999999</v>
      </c>
      <c r="I36" s="16">
        <v>109</v>
      </c>
      <c r="J36" s="16">
        <v>490</v>
      </c>
      <c r="K36" s="16">
        <v>442</v>
      </c>
      <c r="L36" s="16">
        <f t="shared" si="2"/>
        <v>381</v>
      </c>
      <c r="M36" s="20">
        <f t="shared" si="3"/>
        <v>0.79921259842519687</v>
      </c>
      <c r="N36" s="19">
        <v>0.12876699999999999</v>
      </c>
      <c r="O36" s="22">
        <v>100</v>
      </c>
      <c r="P36" s="13">
        <f t="shared" si="4"/>
        <v>8.1102362204724415E-2</v>
      </c>
      <c r="Q36" s="13">
        <f t="shared" si="5"/>
        <v>0.78649125984251966</v>
      </c>
      <c r="R36" s="16">
        <f t="shared" si="6"/>
        <v>28706.930984251969</v>
      </c>
      <c r="S36">
        <f t="shared" si="7"/>
        <v>20094.851688976378</v>
      </c>
    </row>
    <row r="37" spans="1:19" x14ac:dyDescent="0.3">
      <c r="A37" t="s">
        <v>58</v>
      </c>
      <c r="B37" t="s">
        <v>279</v>
      </c>
      <c r="C37" t="s">
        <v>331</v>
      </c>
      <c r="D37">
        <v>1</v>
      </c>
      <c r="E37" s="16">
        <v>1200</v>
      </c>
      <c r="F37" s="14">
        <v>24.1096</v>
      </c>
      <c r="G37" s="15">
        <f t="shared" si="0"/>
        <v>0.241096</v>
      </c>
      <c r="H37" s="18">
        <f t="shared" si="1"/>
        <v>3471.7824000000001</v>
      </c>
      <c r="I37" s="16">
        <v>145</v>
      </c>
      <c r="J37" s="16">
        <v>434</v>
      </c>
      <c r="K37" s="16">
        <v>354</v>
      </c>
      <c r="L37" s="16">
        <f t="shared" si="2"/>
        <v>289</v>
      </c>
      <c r="M37" s="20">
        <f t="shared" si="3"/>
        <v>0.67854671280276813</v>
      </c>
      <c r="N37" s="19">
        <v>0.241096</v>
      </c>
      <c r="O37" s="22">
        <v>100</v>
      </c>
      <c r="P37" s="13">
        <f t="shared" si="4"/>
        <v>-2.4567474048442908E-2</v>
      </c>
      <c r="Q37" s="13">
        <f t="shared" si="5"/>
        <v>0.87015006920415228</v>
      </c>
      <c r="R37" s="16">
        <f t="shared" si="6"/>
        <v>31760.477525951559</v>
      </c>
      <c r="S37">
        <f t="shared" si="7"/>
        <v>22232.334268166091</v>
      </c>
    </row>
    <row r="38" spans="1:19" x14ac:dyDescent="0.3">
      <c r="A38" t="s">
        <v>59</v>
      </c>
      <c r="B38" t="s">
        <v>280</v>
      </c>
      <c r="C38" t="s">
        <v>331</v>
      </c>
      <c r="D38">
        <v>2</v>
      </c>
      <c r="E38" s="16">
        <v>920</v>
      </c>
      <c r="F38" s="14">
        <v>45.205500000000001</v>
      </c>
      <c r="G38" s="15">
        <f t="shared" si="0"/>
        <v>0.45205499999999998</v>
      </c>
      <c r="H38" s="18">
        <f t="shared" si="1"/>
        <v>4990.6871999999994</v>
      </c>
      <c r="I38" s="16">
        <v>111</v>
      </c>
      <c r="J38" s="16">
        <v>147</v>
      </c>
      <c r="K38" s="16">
        <v>123</v>
      </c>
      <c r="L38" s="16">
        <f t="shared" si="2"/>
        <v>36</v>
      </c>
      <c r="M38" s="20">
        <f t="shared" si="3"/>
        <v>0.36666666666666664</v>
      </c>
      <c r="N38" s="19">
        <v>0.45205499999999998</v>
      </c>
      <c r="O38" s="22">
        <v>100</v>
      </c>
      <c r="P38" s="13">
        <f t="shared" si="4"/>
        <v>-0.14444444444444443</v>
      </c>
      <c r="Q38" s="13">
        <f t="shared" si="5"/>
        <v>0.96505666666666667</v>
      </c>
      <c r="R38" s="16">
        <f t="shared" si="6"/>
        <v>35224.568333333336</v>
      </c>
      <c r="S38">
        <f t="shared" si="7"/>
        <v>24657.197833333335</v>
      </c>
    </row>
    <row r="39" spans="1:19" x14ac:dyDescent="0.3">
      <c r="A39" t="s">
        <v>60</v>
      </c>
      <c r="B39" t="s">
        <v>279</v>
      </c>
      <c r="C39" t="s">
        <v>331</v>
      </c>
      <c r="D39">
        <v>2</v>
      </c>
      <c r="E39" s="16">
        <v>1300</v>
      </c>
      <c r="F39" s="14">
        <v>47.9452</v>
      </c>
      <c r="G39" s="15">
        <f t="shared" si="0"/>
        <v>0.47945199999999999</v>
      </c>
      <c r="H39" s="18">
        <f t="shared" si="1"/>
        <v>7479.4511999999995</v>
      </c>
      <c r="I39" s="16">
        <v>228</v>
      </c>
      <c r="J39" s="16">
        <v>457</v>
      </c>
      <c r="K39" s="16">
        <v>377</v>
      </c>
      <c r="L39" s="16">
        <f t="shared" si="2"/>
        <v>229</v>
      </c>
      <c r="M39" s="20">
        <f t="shared" si="3"/>
        <v>0.62052401746724895</v>
      </c>
      <c r="N39" s="19">
        <v>0.47945199999999999</v>
      </c>
      <c r="O39" s="22">
        <v>100</v>
      </c>
      <c r="P39" s="13">
        <f t="shared" si="4"/>
        <v>-0.34716157205240172</v>
      </c>
      <c r="Q39" s="13">
        <f t="shared" si="5"/>
        <v>1.1255478165938864</v>
      </c>
      <c r="R39" s="16">
        <f t="shared" si="6"/>
        <v>41082.49530567685</v>
      </c>
      <c r="S39">
        <f t="shared" si="7"/>
        <v>28757.746713973793</v>
      </c>
    </row>
    <row r="40" spans="1:19" x14ac:dyDescent="0.3">
      <c r="A40" t="s">
        <v>61</v>
      </c>
      <c r="B40" t="s">
        <v>279</v>
      </c>
      <c r="C40" t="s">
        <v>332</v>
      </c>
      <c r="D40">
        <v>1</v>
      </c>
      <c r="E40" s="16">
        <v>1100</v>
      </c>
      <c r="F40" s="14">
        <v>27.1233</v>
      </c>
      <c r="G40" s="15">
        <f t="shared" si="0"/>
        <v>0.271233</v>
      </c>
      <c r="H40" s="18">
        <f t="shared" si="1"/>
        <v>3580.2755999999999</v>
      </c>
      <c r="I40" s="16">
        <v>90</v>
      </c>
      <c r="J40" s="16">
        <v>375</v>
      </c>
      <c r="K40" s="16">
        <v>318</v>
      </c>
      <c r="L40" s="16">
        <f t="shared" si="2"/>
        <v>285</v>
      </c>
      <c r="M40" s="20">
        <f t="shared" si="3"/>
        <v>0.74</v>
      </c>
      <c r="N40" s="19">
        <v>0.271233</v>
      </c>
      <c r="O40" s="22">
        <v>100</v>
      </c>
      <c r="P40" s="13">
        <f t="shared" si="4"/>
        <v>0.1280701754385965</v>
      </c>
      <c r="Q40" s="13">
        <f t="shared" si="5"/>
        <v>0.74930684210526322</v>
      </c>
      <c r="R40" s="16">
        <f t="shared" si="6"/>
        <v>27349.699736842107</v>
      </c>
      <c r="S40">
        <f t="shared" si="7"/>
        <v>19144.789815789474</v>
      </c>
    </row>
    <row r="41" spans="1:19" x14ac:dyDescent="0.3">
      <c r="A41" t="s">
        <v>62</v>
      </c>
      <c r="B41" t="s">
        <v>279</v>
      </c>
      <c r="C41" t="s">
        <v>332</v>
      </c>
      <c r="D41">
        <v>2</v>
      </c>
      <c r="E41" s="16">
        <v>1200</v>
      </c>
      <c r="F41" s="14">
        <v>43.0137</v>
      </c>
      <c r="G41" s="15">
        <f t="shared" si="0"/>
        <v>0.43013699999999999</v>
      </c>
      <c r="H41" s="18">
        <f t="shared" si="1"/>
        <v>6193.9727999999996</v>
      </c>
      <c r="I41" s="16">
        <v>128</v>
      </c>
      <c r="J41" s="16">
        <v>238</v>
      </c>
      <c r="K41" s="16">
        <v>198</v>
      </c>
      <c r="L41" s="16">
        <f t="shared" si="2"/>
        <v>110</v>
      </c>
      <c r="M41" s="20">
        <f t="shared" si="3"/>
        <v>0.60909090909090913</v>
      </c>
      <c r="N41" s="19">
        <v>0.43013699999999999</v>
      </c>
      <c r="O41" s="22">
        <v>100</v>
      </c>
      <c r="P41" s="13">
        <f t="shared" si="4"/>
        <v>-0.10363636363636364</v>
      </c>
      <c r="Q41" s="13">
        <f t="shared" si="5"/>
        <v>0.93274890909090913</v>
      </c>
      <c r="R41" s="16">
        <f t="shared" si="6"/>
        <v>34045.335181818184</v>
      </c>
      <c r="S41">
        <f t="shared" si="7"/>
        <v>23831.734627272726</v>
      </c>
    </row>
    <row r="42" spans="1:19" x14ac:dyDescent="0.3">
      <c r="A42" t="s">
        <v>63</v>
      </c>
      <c r="B42" t="s">
        <v>281</v>
      </c>
      <c r="C42" t="s">
        <v>331</v>
      </c>
      <c r="D42">
        <v>1</v>
      </c>
      <c r="E42" s="16">
        <v>1300</v>
      </c>
      <c r="F42" s="14">
        <v>56.712299999999999</v>
      </c>
      <c r="G42" s="15">
        <f t="shared" si="0"/>
        <v>0.56712300000000004</v>
      </c>
      <c r="H42" s="18">
        <f t="shared" si="1"/>
        <v>8847.1188000000002</v>
      </c>
      <c r="I42" s="16">
        <v>126</v>
      </c>
      <c r="J42" s="16">
        <v>188</v>
      </c>
      <c r="K42" s="16">
        <v>149</v>
      </c>
      <c r="L42" s="16">
        <f t="shared" si="2"/>
        <v>62</v>
      </c>
      <c r="M42" s="20">
        <f t="shared" si="3"/>
        <v>0.39677419354838711</v>
      </c>
      <c r="N42" s="19">
        <v>0.56712300000000004</v>
      </c>
      <c r="O42" s="22">
        <v>100</v>
      </c>
      <c r="P42" s="13">
        <f t="shared" si="4"/>
        <v>-0.23548387096774193</v>
      </c>
      <c r="Q42" s="13">
        <f t="shared" si="5"/>
        <v>1.0371325806451612</v>
      </c>
      <c r="R42" s="16">
        <f t="shared" si="6"/>
        <v>37855.339193548381</v>
      </c>
      <c r="S42">
        <f t="shared" si="7"/>
        <v>26498.737435483865</v>
      </c>
    </row>
    <row r="43" spans="1:19" x14ac:dyDescent="0.3">
      <c r="A43" t="s">
        <v>64</v>
      </c>
      <c r="B43" t="s">
        <v>281</v>
      </c>
      <c r="C43" t="s">
        <v>331</v>
      </c>
      <c r="D43">
        <v>2</v>
      </c>
      <c r="E43" s="16">
        <v>1700</v>
      </c>
      <c r="F43" s="14">
        <v>32.0548</v>
      </c>
      <c r="G43" s="15">
        <f t="shared" si="0"/>
        <v>0.320548</v>
      </c>
      <c r="H43" s="18">
        <f t="shared" si="1"/>
        <v>6539.1791999999996</v>
      </c>
      <c r="I43" s="16">
        <v>152</v>
      </c>
      <c r="J43" s="16">
        <v>247</v>
      </c>
      <c r="K43" s="16">
        <v>210</v>
      </c>
      <c r="L43" s="16">
        <f t="shared" si="2"/>
        <v>95</v>
      </c>
      <c r="M43" s="20">
        <f t="shared" si="3"/>
        <v>0.58842105263157896</v>
      </c>
      <c r="N43" s="19">
        <v>0.320548</v>
      </c>
      <c r="O43" s="22">
        <v>100</v>
      </c>
      <c r="P43" s="13">
        <f t="shared" si="4"/>
        <v>-0.33789473684210525</v>
      </c>
      <c r="Q43" s="13">
        <f t="shared" si="5"/>
        <v>1.1182112631578947</v>
      </c>
      <c r="R43" s="16">
        <f t="shared" si="6"/>
        <v>40814.711105263152</v>
      </c>
      <c r="S43">
        <f t="shared" si="7"/>
        <v>28570.297773684204</v>
      </c>
    </row>
    <row r="44" spans="1:19" x14ac:dyDescent="0.3">
      <c r="A44" t="s">
        <v>65</v>
      </c>
      <c r="B44" t="s">
        <v>281</v>
      </c>
      <c r="C44" t="s">
        <v>332</v>
      </c>
      <c r="D44">
        <v>1</v>
      </c>
      <c r="E44" s="16">
        <v>1200</v>
      </c>
      <c r="F44" s="14">
        <v>44.9315</v>
      </c>
      <c r="G44" s="15">
        <f t="shared" si="0"/>
        <v>0.44931500000000002</v>
      </c>
      <c r="H44" s="18">
        <f t="shared" si="1"/>
        <v>6470.1360000000004</v>
      </c>
      <c r="I44" s="16">
        <v>141</v>
      </c>
      <c r="J44" s="16">
        <v>263</v>
      </c>
      <c r="K44" s="16">
        <v>187</v>
      </c>
      <c r="L44" s="16">
        <f t="shared" si="2"/>
        <v>122</v>
      </c>
      <c r="M44" s="20">
        <f t="shared" si="3"/>
        <v>0.40163934426229508</v>
      </c>
      <c r="N44" s="19">
        <v>0.44931500000000002</v>
      </c>
      <c r="O44" s="22">
        <v>100</v>
      </c>
      <c r="P44" s="13">
        <f t="shared" si="4"/>
        <v>-0.16885245901639345</v>
      </c>
      <c r="Q44" s="13">
        <f t="shared" si="5"/>
        <v>0.98438049180327869</v>
      </c>
      <c r="R44" s="16">
        <f t="shared" si="6"/>
        <v>35929.88795081967</v>
      </c>
      <c r="S44">
        <f t="shared" si="7"/>
        <v>25150.921565573768</v>
      </c>
    </row>
    <row r="45" spans="1:19" x14ac:dyDescent="0.3">
      <c r="A45" t="s">
        <v>66</v>
      </c>
      <c r="B45" t="s">
        <v>281</v>
      </c>
      <c r="C45" t="s">
        <v>332</v>
      </c>
      <c r="D45">
        <v>2</v>
      </c>
      <c r="E45" s="16">
        <v>1900</v>
      </c>
      <c r="F45" s="14">
        <v>50.9589</v>
      </c>
      <c r="G45" s="15">
        <f t="shared" si="0"/>
        <v>0.50958899999999996</v>
      </c>
      <c r="H45" s="18">
        <f t="shared" si="1"/>
        <v>11618.629199999999</v>
      </c>
      <c r="I45" s="16">
        <v>157</v>
      </c>
      <c r="J45" s="16">
        <v>314</v>
      </c>
      <c r="K45" s="16">
        <v>225</v>
      </c>
      <c r="L45" s="16">
        <f t="shared" si="2"/>
        <v>157</v>
      </c>
      <c r="M45" s="20">
        <f t="shared" si="3"/>
        <v>0.44649681528662422</v>
      </c>
      <c r="N45" s="19">
        <v>0.50958899999999996</v>
      </c>
      <c r="O45" s="22">
        <v>100</v>
      </c>
      <c r="P45" s="13">
        <f t="shared" si="4"/>
        <v>-0.19044585987261148</v>
      </c>
      <c r="Q45" s="13">
        <f t="shared" si="5"/>
        <v>1.0014759872611465</v>
      </c>
      <c r="R45" s="16">
        <f t="shared" si="6"/>
        <v>36553.873535031846</v>
      </c>
      <c r="S45">
        <f t="shared" si="7"/>
        <v>25587.71147452229</v>
      </c>
    </row>
    <row r="46" spans="1:19" x14ac:dyDescent="0.3">
      <c r="A46" t="s">
        <v>67</v>
      </c>
      <c r="B46" t="s">
        <v>282</v>
      </c>
      <c r="C46" t="s">
        <v>331</v>
      </c>
      <c r="D46">
        <v>1</v>
      </c>
      <c r="E46" s="16">
        <v>1000</v>
      </c>
      <c r="F46" s="14">
        <v>72.0548</v>
      </c>
      <c r="G46" s="15">
        <f t="shared" si="0"/>
        <v>0.72054799999999997</v>
      </c>
      <c r="H46" s="18">
        <f t="shared" si="1"/>
        <v>8646.5759999999991</v>
      </c>
      <c r="I46" s="16">
        <v>93</v>
      </c>
      <c r="J46" s="16">
        <v>159</v>
      </c>
      <c r="K46" s="16">
        <v>123</v>
      </c>
      <c r="L46" s="16">
        <f t="shared" si="2"/>
        <v>66</v>
      </c>
      <c r="M46" s="20">
        <f t="shared" si="3"/>
        <v>0.46363636363636362</v>
      </c>
      <c r="N46" s="19">
        <v>0.72054799999999997</v>
      </c>
      <c r="O46" s="22">
        <v>100</v>
      </c>
      <c r="P46" s="13">
        <f t="shared" si="4"/>
        <v>0.18484848484848485</v>
      </c>
      <c r="Q46" s="13">
        <f t="shared" si="5"/>
        <v>0.70435545454545456</v>
      </c>
      <c r="R46" s="16">
        <f t="shared" si="6"/>
        <v>25708.974090909091</v>
      </c>
      <c r="S46">
        <f t="shared" si="7"/>
        <v>17996.281863636363</v>
      </c>
    </row>
    <row r="47" spans="1:19" x14ac:dyDescent="0.3">
      <c r="A47" t="s">
        <v>68</v>
      </c>
      <c r="B47" t="s">
        <v>282</v>
      </c>
      <c r="C47" t="s">
        <v>331</v>
      </c>
      <c r="D47">
        <v>2</v>
      </c>
      <c r="E47" s="16">
        <v>1500</v>
      </c>
      <c r="F47" s="14">
        <v>49.588999999999999</v>
      </c>
      <c r="G47" s="15">
        <f t="shared" si="0"/>
        <v>0.49589</v>
      </c>
      <c r="H47" s="18">
        <f t="shared" si="1"/>
        <v>8926.02</v>
      </c>
      <c r="I47" s="16">
        <v>145</v>
      </c>
      <c r="J47" s="16">
        <v>462</v>
      </c>
      <c r="K47" s="16">
        <v>263</v>
      </c>
      <c r="L47" s="16">
        <f t="shared" si="2"/>
        <v>317</v>
      </c>
      <c r="M47" s="20">
        <f t="shared" si="3"/>
        <v>0.39779179810725551</v>
      </c>
      <c r="N47" s="19">
        <v>0.49589</v>
      </c>
      <c r="O47" s="22">
        <v>100</v>
      </c>
      <c r="P47" s="13">
        <f t="shared" si="4"/>
        <v>-1.3564668769716088E-2</v>
      </c>
      <c r="Q47" s="13">
        <f t="shared" si="5"/>
        <v>0.86143914826498424</v>
      </c>
      <c r="R47" s="16">
        <f t="shared" si="6"/>
        <v>31442.528911671925</v>
      </c>
      <c r="S47">
        <f t="shared" si="7"/>
        <v>22009.770238170346</v>
      </c>
    </row>
    <row r="48" spans="1:19" x14ac:dyDescent="0.3">
      <c r="A48" t="s">
        <v>69</v>
      </c>
      <c r="B48" t="s">
        <v>282</v>
      </c>
      <c r="C48" t="s">
        <v>332</v>
      </c>
      <c r="D48">
        <v>1</v>
      </c>
      <c r="E48" s="16">
        <v>1300</v>
      </c>
      <c r="F48" s="14">
        <v>44.9315</v>
      </c>
      <c r="G48" s="15">
        <f t="shared" si="0"/>
        <v>0.44931500000000002</v>
      </c>
      <c r="H48" s="18">
        <f t="shared" si="1"/>
        <v>7009.3140000000003</v>
      </c>
      <c r="I48" s="16">
        <v>181</v>
      </c>
      <c r="J48" s="16">
        <v>316</v>
      </c>
      <c r="K48" s="16">
        <v>238</v>
      </c>
      <c r="L48" s="16">
        <f t="shared" si="2"/>
        <v>135</v>
      </c>
      <c r="M48" s="20">
        <f t="shared" si="3"/>
        <v>0.43777777777777777</v>
      </c>
      <c r="N48" s="19">
        <v>0.44931500000000002</v>
      </c>
      <c r="O48" s="22">
        <v>100</v>
      </c>
      <c r="P48" s="13">
        <f t="shared" si="4"/>
        <v>-0.38</v>
      </c>
      <c r="Q48" s="13">
        <f t="shared" si="5"/>
        <v>1.151546</v>
      </c>
      <c r="R48" s="16">
        <f t="shared" si="6"/>
        <v>42031.428999999996</v>
      </c>
      <c r="S48">
        <f t="shared" si="7"/>
        <v>29422.000299999996</v>
      </c>
    </row>
    <row r="49" spans="1:19" x14ac:dyDescent="0.3">
      <c r="A49" t="s">
        <v>70</v>
      </c>
      <c r="B49" t="s">
        <v>280</v>
      </c>
      <c r="C49" t="s">
        <v>332</v>
      </c>
      <c r="D49">
        <v>1</v>
      </c>
      <c r="E49" s="16">
        <v>850</v>
      </c>
      <c r="F49" s="14">
        <v>53.150700000000001</v>
      </c>
      <c r="G49" s="15">
        <f t="shared" si="0"/>
        <v>0.53150699999999995</v>
      </c>
      <c r="H49" s="18">
        <f t="shared" si="1"/>
        <v>5421.3713999999991</v>
      </c>
      <c r="I49" s="16">
        <v>96</v>
      </c>
      <c r="J49" s="16">
        <v>245</v>
      </c>
      <c r="K49" s="16">
        <v>146</v>
      </c>
      <c r="L49" s="16">
        <f t="shared" si="2"/>
        <v>149</v>
      </c>
      <c r="M49" s="20">
        <f t="shared" si="3"/>
        <v>0.36845637583892615</v>
      </c>
      <c r="N49" s="19">
        <v>0.53150699999999995</v>
      </c>
      <c r="O49" s="22">
        <v>100</v>
      </c>
      <c r="P49" s="13">
        <f t="shared" si="4"/>
        <v>0.12147651006711409</v>
      </c>
      <c r="Q49" s="13">
        <f t="shared" si="5"/>
        <v>0.75452704697986583</v>
      </c>
      <c r="R49" s="16">
        <f t="shared" si="6"/>
        <v>27540.237214765104</v>
      </c>
      <c r="S49">
        <f t="shared" si="7"/>
        <v>19278.166050335571</v>
      </c>
    </row>
    <row r="50" spans="1:19" x14ac:dyDescent="0.3">
      <c r="A50" t="s">
        <v>71</v>
      </c>
      <c r="B50" t="s">
        <v>282</v>
      </c>
      <c r="C50" t="s">
        <v>332</v>
      </c>
      <c r="D50">
        <v>2</v>
      </c>
      <c r="E50" s="16">
        <v>1800</v>
      </c>
      <c r="F50" s="14">
        <v>15.0685</v>
      </c>
      <c r="G50" s="15">
        <f t="shared" si="0"/>
        <v>0.15068500000000001</v>
      </c>
      <c r="H50" s="18">
        <f t="shared" si="1"/>
        <v>3254.7960000000003</v>
      </c>
      <c r="I50" s="16">
        <v>145</v>
      </c>
      <c r="J50" s="16">
        <v>412</v>
      </c>
      <c r="K50" s="16">
        <v>349</v>
      </c>
      <c r="L50" s="16">
        <f t="shared" si="2"/>
        <v>267</v>
      </c>
      <c r="M50" s="20">
        <f t="shared" si="3"/>
        <v>0.71123595505617976</v>
      </c>
      <c r="N50" s="19">
        <v>0.15068500000000001</v>
      </c>
      <c r="O50" s="22">
        <v>100</v>
      </c>
      <c r="P50" s="13">
        <f t="shared" si="4"/>
        <v>-3.4831460674157301E-2</v>
      </c>
      <c r="Q50" s="13">
        <f t="shared" si="5"/>
        <v>0.87827606741573039</v>
      </c>
      <c r="R50" s="16">
        <f t="shared" si="6"/>
        <v>32057.076460674158</v>
      </c>
      <c r="S50">
        <f t="shared" si="7"/>
        <v>22439.953522471907</v>
      </c>
    </row>
    <row r="51" spans="1:19" x14ac:dyDescent="0.3">
      <c r="A51" t="s">
        <v>72</v>
      </c>
      <c r="B51" t="s">
        <v>283</v>
      </c>
      <c r="C51" t="s">
        <v>331</v>
      </c>
      <c r="D51">
        <v>1</v>
      </c>
      <c r="E51" s="16">
        <v>1100</v>
      </c>
      <c r="F51" s="14">
        <v>60</v>
      </c>
      <c r="G51" s="15">
        <f t="shared" si="0"/>
        <v>0.6</v>
      </c>
      <c r="H51" s="18">
        <f t="shared" si="1"/>
        <v>7920</v>
      </c>
      <c r="I51" s="16">
        <v>99</v>
      </c>
      <c r="J51" s="16">
        <v>215</v>
      </c>
      <c r="K51" s="16">
        <v>147</v>
      </c>
      <c r="L51" s="16">
        <f t="shared" si="2"/>
        <v>116</v>
      </c>
      <c r="M51" s="20">
        <f t="shared" si="3"/>
        <v>0.43103448275862066</v>
      </c>
      <c r="N51" s="19">
        <v>0.6</v>
      </c>
      <c r="O51" s="22">
        <v>100</v>
      </c>
      <c r="P51" s="13">
        <f t="shared" si="4"/>
        <v>0.10689655172413794</v>
      </c>
      <c r="Q51" s="13">
        <f t="shared" si="5"/>
        <v>0.76607000000000003</v>
      </c>
      <c r="R51" s="16">
        <f t="shared" si="6"/>
        <v>27961.555</v>
      </c>
      <c r="S51">
        <f t="shared" si="7"/>
        <v>19573.088499999998</v>
      </c>
    </row>
    <row r="52" spans="1:19" x14ac:dyDescent="0.3">
      <c r="A52" t="s">
        <v>73</v>
      </c>
      <c r="B52" t="s">
        <v>283</v>
      </c>
      <c r="C52" t="s">
        <v>331</v>
      </c>
      <c r="D52">
        <v>2</v>
      </c>
      <c r="E52" s="16">
        <v>1400</v>
      </c>
      <c r="F52" s="14">
        <v>52.602699999999999</v>
      </c>
      <c r="G52" s="15">
        <f t="shared" si="0"/>
        <v>0.52602700000000002</v>
      </c>
      <c r="H52" s="18">
        <f t="shared" si="1"/>
        <v>8837.2536</v>
      </c>
      <c r="I52" s="16">
        <v>120</v>
      </c>
      <c r="J52" s="16">
        <v>188</v>
      </c>
      <c r="K52" s="16">
        <v>151</v>
      </c>
      <c r="L52" s="16">
        <f t="shared" si="2"/>
        <v>68</v>
      </c>
      <c r="M52" s="20">
        <f t="shared" si="3"/>
        <v>0.46470588235294119</v>
      </c>
      <c r="N52" s="19">
        <v>0.52602700000000002</v>
      </c>
      <c r="O52" s="22">
        <v>100</v>
      </c>
      <c r="P52" s="13">
        <f t="shared" si="4"/>
        <v>-0.13529411764705881</v>
      </c>
      <c r="Q52" s="13">
        <f t="shared" si="5"/>
        <v>0.9578123529411765</v>
      </c>
      <c r="R52" s="16">
        <f t="shared" si="6"/>
        <v>34960.150882352944</v>
      </c>
      <c r="S52">
        <f t="shared" si="7"/>
        <v>24472.105617647059</v>
      </c>
    </row>
    <row r="53" spans="1:19" x14ac:dyDescent="0.3">
      <c r="A53" t="s">
        <v>74</v>
      </c>
      <c r="B53" t="s">
        <v>283</v>
      </c>
      <c r="C53" t="s">
        <v>332</v>
      </c>
      <c r="D53">
        <v>1</v>
      </c>
      <c r="E53" s="16">
        <v>1300</v>
      </c>
      <c r="F53" s="14">
        <v>21.0959</v>
      </c>
      <c r="G53" s="15">
        <f t="shared" si="0"/>
        <v>0.21095900000000001</v>
      </c>
      <c r="H53" s="18">
        <f t="shared" si="1"/>
        <v>3290.9603999999999</v>
      </c>
      <c r="I53" s="16">
        <v>263</v>
      </c>
      <c r="J53" s="16">
        <v>489</v>
      </c>
      <c r="K53" s="16">
        <v>429</v>
      </c>
      <c r="L53" s="16">
        <f t="shared" si="2"/>
        <v>226</v>
      </c>
      <c r="M53" s="20">
        <f t="shared" si="3"/>
        <v>0.68761061946902657</v>
      </c>
      <c r="N53" s="19">
        <v>0.21095900000000001</v>
      </c>
      <c r="O53" s="22">
        <v>100</v>
      </c>
      <c r="P53" s="13">
        <f t="shared" si="4"/>
        <v>-0.47699115044247786</v>
      </c>
      <c r="Q53" s="13">
        <f t="shared" si="5"/>
        <v>1.2283338938053097</v>
      </c>
      <c r="R53" s="16">
        <f t="shared" si="6"/>
        <v>44834.187123893804</v>
      </c>
      <c r="S53">
        <f t="shared" si="7"/>
        <v>31383.93098672566</v>
      </c>
    </row>
    <row r="54" spans="1:19" x14ac:dyDescent="0.3">
      <c r="A54" t="s">
        <v>75</v>
      </c>
      <c r="B54" t="s">
        <v>283</v>
      </c>
      <c r="C54" t="s">
        <v>332</v>
      </c>
      <c r="D54">
        <v>2</v>
      </c>
      <c r="E54" s="16">
        <v>1900</v>
      </c>
      <c r="F54" s="14">
        <v>33.150700000000001</v>
      </c>
      <c r="G54" s="15">
        <f t="shared" si="0"/>
        <v>0.331507</v>
      </c>
      <c r="H54" s="18">
        <f t="shared" si="1"/>
        <v>7558.3595999999998</v>
      </c>
      <c r="I54" s="16">
        <v>335</v>
      </c>
      <c r="J54" s="16">
        <v>502</v>
      </c>
      <c r="K54" s="16">
        <v>441</v>
      </c>
      <c r="L54" s="16">
        <f t="shared" si="2"/>
        <v>167</v>
      </c>
      <c r="M54" s="20">
        <f t="shared" si="3"/>
        <v>0.60778443113772451</v>
      </c>
      <c r="N54" s="19">
        <v>0.331507</v>
      </c>
      <c r="O54" s="22">
        <v>100</v>
      </c>
      <c r="P54" s="13">
        <f t="shared" si="4"/>
        <v>-1.0257485029940119</v>
      </c>
      <c r="Q54" s="13">
        <f t="shared" si="5"/>
        <v>1.6627850898203591</v>
      </c>
      <c r="R54" s="16">
        <f t="shared" si="6"/>
        <v>60691.655778443106</v>
      </c>
      <c r="S54">
        <f t="shared" si="7"/>
        <v>42484.159044910171</v>
      </c>
    </row>
    <row r="55" spans="1:19" x14ac:dyDescent="0.3">
      <c r="A55" t="s">
        <v>76</v>
      </c>
      <c r="B55" t="s">
        <v>284</v>
      </c>
      <c r="C55" t="s">
        <v>331</v>
      </c>
      <c r="D55">
        <v>1</v>
      </c>
      <c r="E55" s="16">
        <v>900</v>
      </c>
      <c r="F55" s="14">
        <v>32.8767</v>
      </c>
      <c r="G55" s="15">
        <f t="shared" si="0"/>
        <v>0.32876699999999998</v>
      </c>
      <c r="H55" s="18">
        <f t="shared" si="1"/>
        <v>3550.6835999999998</v>
      </c>
      <c r="I55" s="16">
        <v>98</v>
      </c>
      <c r="J55" s="16">
        <v>195</v>
      </c>
      <c r="K55" s="16">
        <v>144</v>
      </c>
      <c r="L55" s="16">
        <f t="shared" si="2"/>
        <v>97</v>
      </c>
      <c r="M55" s="20">
        <f t="shared" si="3"/>
        <v>0.47938144329896909</v>
      </c>
      <c r="N55" s="19">
        <v>0.32876699999999998</v>
      </c>
      <c r="O55" s="22">
        <v>100</v>
      </c>
      <c r="P55" s="13">
        <f t="shared" si="4"/>
        <v>0.11649484536082474</v>
      </c>
      <c r="Q55" s="13">
        <f t="shared" si="5"/>
        <v>0.75847103092783508</v>
      </c>
      <c r="R55" s="16">
        <f t="shared" si="6"/>
        <v>27684.192628865982</v>
      </c>
      <c r="S55">
        <f t="shared" si="7"/>
        <v>19378.934840206184</v>
      </c>
    </row>
    <row r="56" spans="1:19" x14ac:dyDescent="0.3">
      <c r="A56" t="s">
        <v>77</v>
      </c>
      <c r="B56" t="s">
        <v>284</v>
      </c>
      <c r="C56" t="s">
        <v>331</v>
      </c>
      <c r="D56">
        <v>2</v>
      </c>
      <c r="E56" s="16">
        <v>1400</v>
      </c>
      <c r="F56" s="14">
        <v>61.9178</v>
      </c>
      <c r="G56" s="15">
        <f t="shared" si="0"/>
        <v>0.61917800000000001</v>
      </c>
      <c r="H56" s="18">
        <f t="shared" si="1"/>
        <v>10402.190399999999</v>
      </c>
      <c r="I56" s="16">
        <v>77</v>
      </c>
      <c r="J56" s="16">
        <v>260</v>
      </c>
      <c r="K56" s="16">
        <v>136</v>
      </c>
      <c r="L56" s="16">
        <f t="shared" si="2"/>
        <v>183</v>
      </c>
      <c r="M56" s="20">
        <f t="shared" si="3"/>
        <v>0.35792349726775957</v>
      </c>
      <c r="N56" s="19">
        <v>0.61917800000000001</v>
      </c>
      <c r="O56" s="22">
        <v>100</v>
      </c>
      <c r="P56" s="13">
        <f t="shared" si="4"/>
        <v>0.20054644808743169</v>
      </c>
      <c r="Q56" s="13">
        <f t="shared" si="5"/>
        <v>0.69192737704918039</v>
      </c>
      <c r="R56" s="16">
        <f t="shared" si="6"/>
        <v>25255.349262295083</v>
      </c>
      <c r="S56">
        <f t="shared" si="7"/>
        <v>17678.744483606559</v>
      </c>
    </row>
    <row r="57" spans="1:19" x14ac:dyDescent="0.3">
      <c r="A57" t="s">
        <v>78</v>
      </c>
      <c r="B57" t="s">
        <v>284</v>
      </c>
      <c r="C57" t="s">
        <v>332</v>
      </c>
      <c r="D57">
        <v>1</v>
      </c>
      <c r="E57" s="16">
        <v>1400</v>
      </c>
      <c r="F57" s="14">
        <v>27.1233</v>
      </c>
      <c r="G57" s="15">
        <f t="shared" si="0"/>
        <v>0.271233</v>
      </c>
      <c r="H57" s="18">
        <f t="shared" si="1"/>
        <v>4556.7143999999998</v>
      </c>
      <c r="I57" s="16">
        <v>173</v>
      </c>
      <c r="J57" s="16">
        <v>322</v>
      </c>
      <c r="K57" s="16">
        <v>305</v>
      </c>
      <c r="L57" s="16">
        <f t="shared" si="2"/>
        <v>149</v>
      </c>
      <c r="M57" s="20">
        <f t="shared" si="3"/>
        <v>0.8087248322147651</v>
      </c>
      <c r="N57" s="19">
        <v>0.271233</v>
      </c>
      <c r="O57" s="22">
        <v>100</v>
      </c>
      <c r="P57" s="13">
        <f t="shared" si="4"/>
        <v>-0.29194630872483224</v>
      </c>
      <c r="Q57" s="13">
        <f t="shared" si="5"/>
        <v>1.0818338926174498</v>
      </c>
      <c r="R57" s="16">
        <f t="shared" si="6"/>
        <v>39486.937080536918</v>
      </c>
      <c r="S57">
        <f t="shared" si="7"/>
        <v>27640.855956375843</v>
      </c>
    </row>
    <row r="58" spans="1:19" x14ac:dyDescent="0.3">
      <c r="A58" t="s">
        <v>79</v>
      </c>
      <c r="B58" t="s">
        <v>284</v>
      </c>
      <c r="C58" t="s">
        <v>332</v>
      </c>
      <c r="D58">
        <v>2</v>
      </c>
      <c r="E58" s="16">
        <v>1700</v>
      </c>
      <c r="F58" s="14">
        <v>32.8767</v>
      </c>
      <c r="G58" s="15">
        <f t="shared" si="0"/>
        <v>0.32876699999999998</v>
      </c>
      <c r="H58" s="18">
        <f t="shared" si="1"/>
        <v>6706.8467999999993</v>
      </c>
      <c r="I58" s="16">
        <v>176</v>
      </c>
      <c r="J58" s="16">
        <v>469</v>
      </c>
      <c r="K58" s="16">
        <v>425</v>
      </c>
      <c r="L58" s="16">
        <f t="shared" si="2"/>
        <v>293</v>
      </c>
      <c r="M58" s="20">
        <f t="shared" si="3"/>
        <v>0.77986348122866889</v>
      </c>
      <c r="N58" s="19">
        <v>0.32876699999999998</v>
      </c>
      <c r="O58" s="22">
        <v>100</v>
      </c>
      <c r="P58" s="13">
        <f t="shared" si="4"/>
        <v>-0.10750853242320819</v>
      </c>
      <c r="Q58" s="13">
        <f t="shared" si="5"/>
        <v>0.93581450511945397</v>
      </c>
      <c r="R58" s="16">
        <f t="shared" si="6"/>
        <v>34157.229436860071</v>
      </c>
      <c r="S58">
        <f t="shared" si="7"/>
        <v>23910.060605802049</v>
      </c>
    </row>
    <row r="59" spans="1:19" x14ac:dyDescent="0.3">
      <c r="A59" t="s">
        <v>80</v>
      </c>
      <c r="B59" t="s">
        <v>285</v>
      </c>
      <c r="C59" t="s">
        <v>331</v>
      </c>
      <c r="D59">
        <v>1</v>
      </c>
      <c r="E59" s="16">
        <v>800</v>
      </c>
      <c r="F59" s="14">
        <v>41.369900000000001</v>
      </c>
      <c r="G59" s="15">
        <f t="shared" si="0"/>
        <v>0.41369900000000004</v>
      </c>
      <c r="H59" s="18">
        <f t="shared" si="1"/>
        <v>3971.5104000000006</v>
      </c>
      <c r="I59" s="16">
        <v>86</v>
      </c>
      <c r="J59" s="16">
        <v>224</v>
      </c>
      <c r="K59" s="16">
        <v>176</v>
      </c>
      <c r="L59" s="16">
        <f t="shared" si="2"/>
        <v>138</v>
      </c>
      <c r="M59" s="20">
        <f t="shared" si="3"/>
        <v>0.62173913043478257</v>
      </c>
      <c r="N59" s="19">
        <v>0.41369900000000004</v>
      </c>
      <c r="O59" s="22">
        <v>100</v>
      </c>
      <c r="P59" s="13">
        <f t="shared" si="4"/>
        <v>0.18115942028985507</v>
      </c>
      <c r="Q59" s="13">
        <f t="shared" si="5"/>
        <v>0.70727608695652178</v>
      </c>
      <c r="R59" s="16">
        <f t="shared" si="6"/>
        <v>25815.577173913043</v>
      </c>
      <c r="S59">
        <f t="shared" si="7"/>
        <v>18070.90402173913</v>
      </c>
    </row>
    <row r="60" spans="1:19" x14ac:dyDescent="0.3">
      <c r="A60" t="s">
        <v>81</v>
      </c>
      <c r="B60" t="s">
        <v>280</v>
      </c>
      <c r="C60" t="s">
        <v>332</v>
      </c>
      <c r="D60">
        <v>2</v>
      </c>
      <c r="E60" s="16">
        <v>900</v>
      </c>
      <c r="F60" s="14">
        <v>47.9452</v>
      </c>
      <c r="G60" s="15">
        <f t="shared" si="0"/>
        <v>0.47945199999999999</v>
      </c>
      <c r="H60" s="18">
        <f t="shared" si="1"/>
        <v>5178.0815999999995</v>
      </c>
      <c r="I60" s="16">
        <v>111</v>
      </c>
      <c r="J60" s="16">
        <v>276</v>
      </c>
      <c r="K60" s="16">
        <v>169</v>
      </c>
      <c r="L60" s="16">
        <f t="shared" si="2"/>
        <v>165</v>
      </c>
      <c r="M60" s="20">
        <f t="shared" si="3"/>
        <v>0.38121212121212122</v>
      </c>
      <c r="N60" s="19">
        <v>0.47945199999999999</v>
      </c>
      <c r="O60" s="22">
        <v>100</v>
      </c>
      <c r="P60" s="13">
        <f t="shared" si="4"/>
        <v>4.6666666666666669E-2</v>
      </c>
      <c r="Q60" s="13">
        <f t="shared" si="5"/>
        <v>0.81375399999999998</v>
      </c>
      <c r="R60" s="16">
        <f t="shared" si="6"/>
        <v>29702.021000000001</v>
      </c>
      <c r="S60">
        <f t="shared" si="7"/>
        <v>20791.414699999998</v>
      </c>
    </row>
    <row r="61" spans="1:19" x14ac:dyDescent="0.3">
      <c r="A61" t="s">
        <v>82</v>
      </c>
      <c r="B61" t="s">
        <v>285</v>
      </c>
      <c r="C61" t="s">
        <v>331</v>
      </c>
      <c r="D61">
        <v>2</v>
      </c>
      <c r="E61" s="16">
        <v>1300</v>
      </c>
      <c r="F61" s="14">
        <v>63.0137</v>
      </c>
      <c r="G61" s="15">
        <f t="shared" si="0"/>
        <v>0.63013699999999995</v>
      </c>
      <c r="H61" s="18">
        <f t="shared" si="1"/>
        <v>9830.1371999999992</v>
      </c>
      <c r="I61" s="16">
        <v>127</v>
      </c>
      <c r="J61" s="16">
        <v>276</v>
      </c>
      <c r="K61" s="16">
        <v>207</v>
      </c>
      <c r="L61" s="16">
        <f t="shared" si="2"/>
        <v>149</v>
      </c>
      <c r="M61" s="20">
        <f t="shared" si="3"/>
        <v>0.5295302013422819</v>
      </c>
      <c r="N61" s="19">
        <v>0.63013699999999995</v>
      </c>
      <c r="O61" s="22">
        <v>100</v>
      </c>
      <c r="P61" s="13">
        <f t="shared" si="4"/>
        <v>-4.4966442953020137E-2</v>
      </c>
      <c r="Q61" s="13">
        <f t="shared" si="5"/>
        <v>0.88629993288590603</v>
      </c>
      <c r="R61" s="16">
        <f t="shared" si="6"/>
        <v>32349.947550335572</v>
      </c>
      <c r="S61">
        <f t="shared" si="7"/>
        <v>22644.963285234899</v>
      </c>
    </row>
    <row r="62" spans="1:19" x14ac:dyDescent="0.3">
      <c r="A62" t="s">
        <v>83</v>
      </c>
      <c r="B62" t="s">
        <v>285</v>
      </c>
      <c r="C62" t="s">
        <v>332</v>
      </c>
      <c r="D62">
        <v>1</v>
      </c>
      <c r="E62" s="16">
        <v>1400</v>
      </c>
      <c r="F62" s="14">
        <v>90.411000000000001</v>
      </c>
      <c r="G62" s="15">
        <f t="shared" si="0"/>
        <v>0.90410999999999997</v>
      </c>
      <c r="H62" s="18">
        <f t="shared" si="1"/>
        <v>15189.047999999999</v>
      </c>
      <c r="I62" s="16">
        <v>222</v>
      </c>
      <c r="J62" s="16">
        <v>381</v>
      </c>
      <c r="K62" s="16">
        <v>244</v>
      </c>
      <c r="L62" s="16">
        <f t="shared" si="2"/>
        <v>159</v>
      </c>
      <c r="M62" s="20">
        <f t="shared" si="3"/>
        <v>0.21069182389937108</v>
      </c>
      <c r="N62" s="19">
        <v>0.90410999999999997</v>
      </c>
      <c r="O62" s="22">
        <v>100</v>
      </c>
      <c r="P62" s="13">
        <f t="shared" si="4"/>
        <v>-0.51383647798742138</v>
      </c>
      <c r="Q62" s="13">
        <f t="shared" si="5"/>
        <v>1.2575043396226415</v>
      </c>
      <c r="R62" s="16">
        <f t="shared" si="6"/>
        <v>45898.908396226412</v>
      </c>
      <c r="S62">
        <f t="shared" si="7"/>
        <v>32129.235877358486</v>
      </c>
    </row>
    <row r="63" spans="1:19" x14ac:dyDescent="0.3">
      <c r="A63" t="s">
        <v>84</v>
      </c>
      <c r="B63" t="s">
        <v>285</v>
      </c>
      <c r="C63" t="s">
        <v>332</v>
      </c>
      <c r="D63">
        <v>2</v>
      </c>
      <c r="E63" s="16">
        <v>1900</v>
      </c>
      <c r="F63" s="14">
        <v>54.246600000000001</v>
      </c>
      <c r="G63" s="15">
        <f t="shared" si="0"/>
        <v>0.542466</v>
      </c>
      <c r="H63" s="18">
        <f t="shared" si="1"/>
        <v>12368.2248</v>
      </c>
      <c r="I63" s="16">
        <v>386</v>
      </c>
      <c r="J63" s="16">
        <v>773</v>
      </c>
      <c r="K63" s="16">
        <v>536</v>
      </c>
      <c r="L63" s="16">
        <f t="shared" si="2"/>
        <v>387</v>
      </c>
      <c r="M63" s="20">
        <f t="shared" si="3"/>
        <v>0.41007751937984493</v>
      </c>
      <c r="N63" s="19">
        <v>0.542466</v>
      </c>
      <c r="O63" s="22">
        <v>100</v>
      </c>
      <c r="P63" s="13">
        <f t="shared" si="4"/>
        <v>-0.4912144702842377</v>
      </c>
      <c r="Q63" s="13">
        <f t="shared" si="5"/>
        <v>1.2395944961240311</v>
      </c>
      <c r="R63" s="16">
        <f t="shared" si="6"/>
        <v>45245.199108527137</v>
      </c>
      <c r="S63">
        <f t="shared" si="7"/>
        <v>31671.639375968993</v>
      </c>
    </row>
    <row r="64" spans="1:19" x14ac:dyDescent="0.3">
      <c r="A64" t="s">
        <v>85</v>
      </c>
      <c r="B64" t="s">
        <v>286</v>
      </c>
      <c r="C64" t="s">
        <v>331</v>
      </c>
      <c r="D64">
        <v>1</v>
      </c>
      <c r="E64" s="16">
        <v>1700</v>
      </c>
      <c r="F64" s="14">
        <v>7.9451999999999998</v>
      </c>
      <c r="G64" s="15">
        <f t="shared" si="0"/>
        <v>7.9451999999999995E-2</v>
      </c>
      <c r="H64" s="18">
        <f t="shared" si="1"/>
        <v>1620.8208</v>
      </c>
      <c r="I64" s="16">
        <v>136</v>
      </c>
      <c r="J64" s="16">
        <v>476</v>
      </c>
      <c r="K64" s="16">
        <v>476</v>
      </c>
      <c r="L64" s="16">
        <f t="shared" si="2"/>
        <v>340</v>
      </c>
      <c r="M64" s="20">
        <f t="shared" si="3"/>
        <v>0.9</v>
      </c>
      <c r="N64" s="19">
        <v>7.9451999999999995E-2</v>
      </c>
      <c r="O64" s="22">
        <v>100</v>
      </c>
      <c r="P64" s="13">
        <f t="shared" si="4"/>
        <v>1.5294117647058824E-2</v>
      </c>
      <c r="Q64" s="13">
        <f t="shared" si="5"/>
        <v>0.8385916470588235</v>
      </c>
      <c r="R64" s="16">
        <f t="shared" si="6"/>
        <v>30608.595117647059</v>
      </c>
      <c r="S64">
        <f t="shared" si="7"/>
        <v>21426.016582352939</v>
      </c>
    </row>
    <row r="65" spans="1:19" x14ac:dyDescent="0.3">
      <c r="A65" t="s">
        <v>86</v>
      </c>
      <c r="B65" t="s">
        <v>286</v>
      </c>
      <c r="C65" t="s">
        <v>331</v>
      </c>
      <c r="D65">
        <v>2</v>
      </c>
      <c r="E65" s="16">
        <v>2400</v>
      </c>
      <c r="F65" s="14">
        <v>55.0685</v>
      </c>
      <c r="G65" s="15">
        <f t="shared" si="0"/>
        <v>0.55068499999999998</v>
      </c>
      <c r="H65" s="18">
        <f t="shared" si="1"/>
        <v>15859.727999999999</v>
      </c>
      <c r="I65" s="16">
        <v>173</v>
      </c>
      <c r="J65" s="16">
        <v>690</v>
      </c>
      <c r="K65" s="16">
        <v>360</v>
      </c>
      <c r="L65" s="16">
        <f t="shared" si="2"/>
        <v>517</v>
      </c>
      <c r="M65" s="20">
        <f t="shared" si="3"/>
        <v>0.38936170212765958</v>
      </c>
      <c r="N65" s="19">
        <v>0.55068499999999998</v>
      </c>
      <c r="O65" s="22">
        <v>100</v>
      </c>
      <c r="P65" s="13">
        <f t="shared" si="4"/>
        <v>-1.2959381044487427E-2</v>
      </c>
      <c r="Q65" s="13">
        <f t="shared" si="5"/>
        <v>0.86095994197292069</v>
      </c>
      <c r="R65" s="16">
        <f t="shared" si="6"/>
        <v>31425.037882011606</v>
      </c>
      <c r="S65">
        <f t="shared" si="7"/>
        <v>21997.526517408121</v>
      </c>
    </row>
    <row r="66" spans="1:19" x14ac:dyDescent="0.3">
      <c r="A66" t="s">
        <v>87</v>
      </c>
      <c r="B66" t="s">
        <v>286</v>
      </c>
      <c r="C66" t="s">
        <v>332</v>
      </c>
      <c r="D66">
        <v>1</v>
      </c>
      <c r="E66" s="16">
        <v>2100</v>
      </c>
      <c r="F66" s="14">
        <v>69.315100000000001</v>
      </c>
      <c r="G66" s="15">
        <f t="shared" si="0"/>
        <v>0.69315099999999996</v>
      </c>
      <c r="H66" s="18">
        <f t="shared" si="1"/>
        <v>17467.405199999997</v>
      </c>
      <c r="I66" s="16">
        <v>448</v>
      </c>
      <c r="J66" s="16">
        <v>2128</v>
      </c>
      <c r="K66" s="16">
        <v>1477</v>
      </c>
      <c r="L66" s="16">
        <f t="shared" si="2"/>
        <v>1680</v>
      </c>
      <c r="M66" s="20">
        <f t="shared" si="3"/>
        <v>0.59</v>
      </c>
      <c r="N66" s="19">
        <v>0.69315099999999996</v>
      </c>
      <c r="O66" s="22">
        <v>100</v>
      </c>
      <c r="P66" s="13">
        <f t="shared" si="4"/>
        <v>-6.5714285714285711E-2</v>
      </c>
      <c r="Q66" s="13">
        <f t="shared" si="5"/>
        <v>0.90272600000000003</v>
      </c>
      <c r="R66" s="16">
        <f t="shared" si="6"/>
        <v>32949.499000000003</v>
      </c>
      <c r="S66">
        <f t="shared" si="7"/>
        <v>23064.649300000001</v>
      </c>
    </row>
    <row r="67" spans="1:19" x14ac:dyDescent="0.3">
      <c r="A67" t="s">
        <v>88</v>
      </c>
      <c r="B67" t="s">
        <v>286</v>
      </c>
      <c r="C67" t="s">
        <v>332</v>
      </c>
      <c r="D67">
        <v>2</v>
      </c>
      <c r="E67" s="16">
        <v>3200</v>
      </c>
      <c r="F67" s="14">
        <v>71.506799999999998</v>
      </c>
      <c r="G67" s="15">
        <f t="shared" si="0"/>
        <v>0.71506800000000004</v>
      </c>
      <c r="H67" s="18">
        <f t="shared" si="1"/>
        <v>27458.611200000003</v>
      </c>
      <c r="I67" s="16">
        <v>450</v>
      </c>
      <c r="J67" s="16">
        <v>2699</v>
      </c>
      <c r="K67" s="16">
        <v>1265</v>
      </c>
      <c r="L67" s="16">
        <f t="shared" si="2"/>
        <v>2249</v>
      </c>
      <c r="M67" s="20">
        <f t="shared" si="3"/>
        <v>0.38990662516674079</v>
      </c>
      <c r="N67" s="19">
        <v>0.71506800000000004</v>
      </c>
      <c r="O67" s="22">
        <v>100</v>
      </c>
      <c r="P67" s="13">
        <f t="shared" si="4"/>
        <v>-2.449977767896843E-2</v>
      </c>
      <c r="Q67" s="13">
        <f t="shared" si="5"/>
        <v>0.87009647398843937</v>
      </c>
      <c r="R67" s="16">
        <f t="shared" si="6"/>
        <v>31758.521300578035</v>
      </c>
      <c r="S67">
        <f t="shared" si="7"/>
        <v>22230.964910404622</v>
      </c>
    </row>
    <row r="68" spans="1:19" x14ac:dyDescent="0.3">
      <c r="A68" t="s">
        <v>89</v>
      </c>
      <c r="B68" t="s">
        <v>287</v>
      </c>
      <c r="C68" t="s">
        <v>331</v>
      </c>
      <c r="D68">
        <v>1</v>
      </c>
      <c r="E68" s="16">
        <v>1300</v>
      </c>
      <c r="F68" s="14">
        <v>52.0548</v>
      </c>
      <c r="G68" s="15">
        <f t="shared" si="0"/>
        <v>0.52054800000000001</v>
      </c>
      <c r="H68" s="18">
        <f t="shared" si="1"/>
        <v>8120.5488000000005</v>
      </c>
      <c r="I68" s="16">
        <v>291</v>
      </c>
      <c r="J68" s="16">
        <v>387</v>
      </c>
      <c r="K68" s="16">
        <v>328</v>
      </c>
      <c r="L68" s="16">
        <f t="shared" si="2"/>
        <v>96</v>
      </c>
      <c r="M68" s="20">
        <f t="shared" si="3"/>
        <v>0.40833333333333333</v>
      </c>
      <c r="N68" s="19">
        <v>0.52054800000000001</v>
      </c>
      <c r="O68" s="22">
        <v>100</v>
      </c>
      <c r="P68" s="13">
        <f t="shared" si="4"/>
        <v>-1.4916666666666667</v>
      </c>
      <c r="Q68" s="13">
        <f t="shared" si="5"/>
        <v>2.0316524999999999</v>
      </c>
      <c r="R68" s="16">
        <f t="shared" si="6"/>
        <v>74155.316249999989</v>
      </c>
      <c r="S68">
        <f t="shared" si="7"/>
        <v>51908.721374999986</v>
      </c>
    </row>
    <row r="69" spans="1:19" x14ac:dyDescent="0.3">
      <c r="A69" t="s">
        <v>90</v>
      </c>
      <c r="B69" t="s">
        <v>287</v>
      </c>
      <c r="C69" t="s">
        <v>331</v>
      </c>
      <c r="D69">
        <v>2</v>
      </c>
      <c r="E69" s="16">
        <v>1700</v>
      </c>
      <c r="F69" s="14">
        <v>15.8904</v>
      </c>
      <c r="G69" s="15">
        <f t="shared" ref="G69:G132" si="8">F69/100</f>
        <v>0.15890399999999999</v>
      </c>
      <c r="H69" s="18">
        <f t="shared" ref="H69:H132" si="9">E69*12*G69</f>
        <v>3241.6415999999999</v>
      </c>
      <c r="I69" s="16">
        <v>203</v>
      </c>
      <c r="J69" s="16">
        <v>318</v>
      </c>
      <c r="K69" s="16">
        <v>246</v>
      </c>
      <c r="L69" s="16">
        <f t="shared" ref="L69:L132" si="10">J69-I69</f>
        <v>115</v>
      </c>
      <c r="M69" s="20">
        <f t="shared" ref="M69:M132" si="11">(K69-(I69-1/8*L69))/(1.25*L69)</f>
        <v>0.39913043478260868</v>
      </c>
      <c r="N69" s="19">
        <v>0.15890399999999999</v>
      </c>
      <c r="O69" s="22">
        <v>100</v>
      </c>
      <c r="P69" s="13">
        <f t="shared" ref="P69:P132" si="12">(O69-(I69-1/8*L69))/(1.25*L69)</f>
        <v>-0.61652173913043473</v>
      </c>
      <c r="Q69" s="13">
        <f t="shared" ref="Q69:Q132" si="13">P69*$Q$1+$Q$2</f>
        <v>1.3388002608695651</v>
      </c>
      <c r="R69" s="16">
        <f t="shared" ref="R69:R132" si="14">365*O69*Q69</f>
        <v>48866.209521739125</v>
      </c>
      <c r="S69">
        <f t="shared" ref="S69:S132" si="15">R69*(1-$S$1)</f>
        <v>34206.346665217388</v>
      </c>
    </row>
    <row r="70" spans="1:19" x14ac:dyDescent="0.3">
      <c r="A70" t="s">
        <v>91</v>
      </c>
      <c r="B70" t="s">
        <v>287</v>
      </c>
      <c r="C70" t="s">
        <v>332</v>
      </c>
      <c r="D70">
        <v>1</v>
      </c>
      <c r="E70" s="16">
        <v>1400</v>
      </c>
      <c r="F70" s="14">
        <v>54.520499999999998</v>
      </c>
      <c r="G70" s="15">
        <f t="shared" si="8"/>
        <v>0.54520499999999994</v>
      </c>
      <c r="H70" s="18">
        <f t="shared" si="9"/>
        <v>9159.4439999999995</v>
      </c>
      <c r="I70" s="16">
        <v>287</v>
      </c>
      <c r="J70" s="16">
        <v>395</v>
      </c>
      <c r="K70" s="16">
        <v>325</v>
      </c>
      <c r="L70" s="16">
        <f t="shared" si="10"/>
        <v>108</v>
      </c>
      <c r="M70" s="20">
        <f t="shared" si="11"/>
        <v>0.38148148148148148</v>
      </c>
      <c r="N70" s="19">
        <v>0.54520499999999994</v>
      </c>
      <c r="O70" s="22">
        <v>100</v>
      </c>
      <c r="P70" s="13">
        <f t="shared" si="12"/>
        <v>-1.2851851851851852</v>
      </c>
      <c r="Q70" s="13">
        <f t="shared" si="13"/>
        <v>1.8681811111111111</v>
      </c>
      <c r="R70" s="16">
        <f t="shared" si="14"/>
        <v>68188.610555555555</v>
      </c>
      <c r="S70">
        <f t="shared" si="15"/>
        <v>47732.027388888884</v>
      </c>
    </row>
    <row r="71" spans="1:19" x14ac:dyDescent="0.3">
      <c r="A71" t="s">
        <v>92</v>
      </c>
      <c r="B71" t="s">
        <v>280</v>
      </c>
      <c r="C71" t="s">
        <v>331</v>
      </c>
      <c r="D71">
        <v>1</v>
      </c>
      <c r="E71" s="16">
        <v>750</v>
      </c>
      <c r="F71" s="14">
        <v>47.9452</v>
      </c>
      <c r="G71" s="15">
        <f t="shared" si="8"/>
        <v>0.47945199999999999</v>
      </c>
      <c r="H71" s="18">
        <f t="shared" si="9"/>
        <v>4315.0680000000002</v>
      </c>
      <c r="I71" s="16">
        <v>51</v>
      </c>
      <c r="J71" s="16">
        <v>179</v>
      </c>
      <c r="K71" s="16">
        <v>94</v>
      </c>
      <c r="L71" s="16">
        <f t="shared" si="10"/>
        <v>128</v>
      </c>
      <c r="M71" s="20">
        <f t="shared" si="11"/>
        <v>0.36875000000000002</v>
      </c>
      <c r="N71" s="19">
        <v>0.47945199999999999</v>
      </c>
      <c r="O71" s="22">
        <v>100</v>
      </c>
      <c r="P71" s="13">
        <f t="shared" si="12"/>
        <v>0.40625</v>
      </c>
      <c r="Q71" s="13">
        <f t="shared" si="13"/>
        <v>0.52907187500000008</v>
      </c>
      <c r="R71" s="16">
        <f t="shared" si="14"/>
        <v>19311.123437500002</v>
      </c>
      <c r="S71">
        <f t="shared" si="15"/>
        <v>13517.786406250001</v>
      </c>
    </row>
    <row r="72" spans="1:19" x14ac:dyDescent="0.3">
      <c r="A72" t="s">
        <v>93</v>
      </c>
      <c r="B72" t="s">
        <v>287</v>
      </c>
      <c r="C72" t="s">
        <v>332</v>
      </c>
      <c r="D72">
        <v>2</v>
      </c>
      <c r="E72" s="16">
        <v>1900</v>
      </c>
      <c r="F72" s="14">
        <v>58.630099999999999</v>
      </c>
      <c r="G72" s="15">
        <f t="shared" si="8"/>
        <v>0.58630099999999996</v>
      </c>
      <c r="H72" s="18">
        <f t="shared" si="9"/>
        <v>13367.662799999998</v>
      </c>
      <c r="I72" s="16">
        <v>376</v>
      </c>
      <c r="J72" s="16">
        <v>502</v>
      </c>
      <c r="K72" s="16">
        <v>428</v>
      </c>
      <c r="L72" s="16">
        <f t="shared" si="10"/>
        <v>126</v>
      </c>
      <c r="M72" s="20">
        <f t="shared" si="11"/>
        <v>0.43015873015873018</v>
      </c>
      <c r="N72" s="19">
        <v>0.58630099999999996</v>
      </c>
      <c r="O72" s="22">
        <v>100</v>
      </c>
      <c r="P72" s="13">
        <f t="shared" si="12"/>
        <v>-1.6523809523809523</v>
      </c>
      <c r="Q72" s="13">
        <f t="shared" si="13"/>
        <v>2.15889</v>
      </c>
      <c r="R72" s="16">
        <f t="shared" si="14"/>
        <v>78799.485000000001</v>
      </c>
      <c r="S72">
        <f t="shared" si="15"/>
        <v>55159.639499999997</v>
      </c>
    </row>
    <row r="73" spans="1:19" x14ac:dyDescent="0.3">
      <c r="A73" t="s">
        <v>94</v>
      </c>
      <c r="B73" t="s">
        <v>288</v>
      </c>
      <c r="C73" t="s">
        <v>331</v>
      </c>
      <c r="D73">
        <v>1</v>
      </c>
      <c r="E73" s="16">
        <v>1600</v>
      </c>
      <c r="F73" s="14">
        <v>67.9452</v>
      </c>
      <c r="G73" s="15">
        <f t="shared" si="8"/>
        <v>0.67945199999999994</v>
      </c>
      <c r="H73" s="18">
        <f t="shared" si="9"/>
        <v>13045.478399999998</v>
      </c>
      <c r="I73" s="16">
        <v>126</v>
      </c>
      <c r="J73" s="16">
        <v>352</v>
      </c>
      <c r="K73" s="16">
        <v>188</v>
      </c>
      <c r="L73" s="16">
        <f t="shared" si="10"/>
        <v>226</v>
      </c>
      <c r="M73" s="20">
        <f t="shared" si="11"/>
        <v>0.31946902654867254</v>
      </c>
      <c r="N73" s="19">
        <v>0.67945199999999994</v>
      </c>
      <c r="O73" s="22">
        <v>100</v>
      </c>
      <c r="P73" s="13">
        <f t="shared" si="12"/>
        <v>7.9646017699115043E-3</v>
      </c>
      <c r="Q73" s="13">
        <f t="shared" si="13"/>
        <v>0.84439442477876103</v>
      </c>
      <c r="R73" s="16">
        <f t="shared" si="14"/>
        <v>30820.396504424778</v>
      </c>
      <c r="S73">
        <f t="shared" si="15"/>
        <v>21574.277553097345</v>
      </c>
    </row>
    <row r="74" spans="1:19" x14ac:dyDescent="0.3">
      <c r="A74" t="s">
        <v>95</v>
      </c>
      <c r="B74" t="s">
        <v>288</v>
      </c>
      <c r="C74" t="s">
        <v>331</v>
      </c>
      <c r="D74">
        <v>2</v>
      </c>
      <c r="E74" s="16">
        <v>2200</v>
      </c>
      <c r="F74" s="14">
        <v>57.808199999999999</v>
      </c>
      <c r="G74" s="15">
        <f t="shared" si="8"/>
        <v>0.57808199999999998</v>
      </c>
      <c r="H74" s="18">
        <f t="shared" si="9"/>
        <v>15261.364799999999</v>
      </c>
      <c r="I74" s="16">
        <v>119</v>
      </c>
      <c r="J74" s="16">
        <v>505</v>
      </c>
      <c r="K74" s="16">
        <v>274</v>
      </c>
      <c r="L74" s="16">
        <f t="shared" si="10"/>
        <v>386</v>
      </c>
      <c r="M74" s="20">
        <f t="shared" si="11"/>
        <v>0.42124352331606219</v>
      </c>
      <c r="N74" s="19">
        <v>0.57808199999999998</v>
      </c>
      <c r="O74" s="22">
        <v>100</v>
      </c>
      <c r="P74" s="13">
        <f t="shared" si="12"/>
        <v>6.0621761658031091E-2</v>
      </c>
      <c r="Q74" s="13">
        <f t="shared" si="13"/>
        <v>0.80270575129533683</v>
      </c>
      <c r="R74" s="16">
        <f t="shared" si="14"/>
        <v>29298.759922279794</v>
      </c>
      <c r="S74">
        <f t="shared" si="15"/>
        <v>20509.131945595855</v>
      </c>
    </row>
    <row r="75" spans="1:19" x14ac:dyDescent="0.3">
      <c r="A75" t="s">
        <v>96</v>
      </c>
      <c r="B75" t="s">
        <v>288</v>
      </c>
      <c r="C75" t="s">
        <v>332</v>
      </c>
      <c r="D75">
        <v>1</v>
      </c>
      <c r="E75" s="16">
        <v>1500</v>
      </c>
      <c r="F75" s="14">
        <v>41.0959</v>
      </c>
      <c r="G75" s="15">
        <f t="shared" si="8"/>
        <v>0.41095900000000002</v>
      </c>
      <c r="H75" s="18">
        <f t="shared" si="9"/>
        <v>7397.2620000000006</v>
      </c>
      <c r="I75" s="16">
        <v>486</v>
      </c>
      <c r="J75" s="16">
        <v>1215</v>
      </c>
      <c r="K75" s="16">
        <v>860</v>
      </c>
      <c r="L75" s="16">
        <f t="shared" si="10"/>
        <v>729</v>
      </c>
      <c r="M75" s="20">
        <f t="shared" si="11"/>
        <v>0.51042524005486967</v>
      </c>
      <c r="N75" s="19">
        <v>0.41095900000000002</v>
      </c>
      <c r="O75" s="22">
        <v>100</v>
      </c>
      <c r="P75" s="13">
        <f t="shared" si="12"/>
        <v>-0.32359396433470505</v>
      </c>
      <c r="Q75" s="13">
        <f t="shared" si="13"/>
        <v>1.1068893415637859</v>
      </c>
      <c r="R75" s="16">
        <f t="shared" si="14"/>
        <v>40401.460967078187</v>
      </c>
      <c r="S75">
        <f t="shared" si="15"/>
        <v>28281.02267695473</v>
      </c>
    </row>
    <row r="76" spans="1:19" x14ac:dyDescent="0.3">
      <c r="A76" t="s">
        <v>97</v>
      </c>
      <c r="B76" t="s">
        <v>288</v>
      </c>
      <c r="C76" t="s">
        <v>332</v>
      </c>
      <c r="D76">
        <v>2</v>
      </c>
      <c r="E76" s="16">
        <v>2400</v>
      </c>
      <c r="F76" s="14">
        <v>68.219200000000001</v>
      </c>
      <c r="G76" s="15">
        <f t="shared" si="8"/>
        <v>0.68219200000000002</v>
      </c>
      <c r="H76" s="18">
        <f t="shared" si="9"/>
        <v>19647.1296</v>
      </c>
      <c r="I76" s="16">
        <v>516</v>
      </c>
      <c r="J76" s="16">
        <v>1650</v>
      </c>
      <c r="K76" s="16">
        <v>729</v>
      </c>
      <c r="L76" s="16">
        <f t="shared" si="10"/>
        <v>1134</v>
      </c>
      <c r="M76" s="20">
        <f t="shared" si="11"/>
        <v>0.25026455026455025</v>
      </c>
      <c r="N76" s="19">
        <v>0.68219200000000002</v>
      </c>
      <c r="O76" s="22">
        <v>100</v>
      </c>
      <c r="P76" s="13">
        <f t="shared" si="12"/>
        <v>-0.19347442680776014</v>
      </c>
      <c r="Q76" s="13">
        <f t="shared" si="13"/>
        <v>1.0038737037037038</v>
      </c>
      <c r="R76" s="16">
        <f t="shared" si="14"/>
        <v>36641.390185185184</v>
      </c>
      <c r="S76">
        <f t="shared" si="15"/>
        <v>25648.973129629627</v>
      </c>
    </row>
    <row r="77" spans="1:19" x14ac:dyDescent="0.3">
      <c r="A77" t="s">
        <v>98</v>
      </c>
      <c r="B77" t="s">
        <v>289</v>
      </c>
      <c r="C77" t="s">
        <v>331</v>
      </c>
      <c r="D77">
        <v>1</v>
      </c>
      <c r="E77" s="16">
        <v>1600</v>
      </c>
      <c r="F77" s="14">
        <v>82.465800000000002</v>
      </c>
      <c r="G77" s="15">
        <f t="shared" si="8"/>
        <v>0.824658</v>
      </c>
      <c r="H77" s="18">
        <f t="shared" si="9"/>
        <v>15833.4336</v>
      </c>
      <c r="I77" s="16">
        <v>160</v>
      </c>
      <c r="J77" s="16">
        <v>321</v>
      </c>
      <c r="K77" s="16">
        <v>174</v>
      </c>
      <c r="L77" s="16">
        <f t="shared" si="10"/>
        <v>161</v>
      </c>
      <c r="M77" s="20">
        <f t="shared" si="11"/>
        <v>0.16956521739130434</v>
      </c>
      <c r="N77" s="19">
        <v>0.824658</v>
      </c>
      <c r="O77" s="22">
        <v>100</v>
      </c>
      <c r="P77" s="13">
        <f t="shared" si="12"/>
        <v>-0.19813664596273292</v>
      </c>
      <c r="Q77" s="13">
        <f t="shared" si="13"/>
        <v>1.0075647826086958</v>
      </c>
      <c r="R77" s="16">
        <f t="shared" si="14"/>
        <v>36776.114565217395</v>
      </c>
      <c r="S77">
        <f t="shared" si="15"/>
        <v>25743.280195652176</v>
      </c>
    </row>
    <row r="78" spans="1:19" x14ac:dyDescent="0.3">
      <c r="A78" t="s">
        <v>99</v>
      </c>
      <c r="B78" t="s">
        <v>289</v>
      </c>
      <c r="C78" t="s">
        <v>331</v>
      </c>
      <c r="D78">
        <v>2</v>
      </c>
      <c r="E78" s="16">
        <v>1900</v>
      </c>
      <c r="F78" s="14">
        <v>21.643799999999999</v>
      </c>
      <c r="G78" s="15">
        <f t="shared" si="8"/>
        <v>0.21643799999999999</v>
      </c>
      <c r="H78" s="18">
        <f t="shared" si="9"/>
        <v>4934.7864</v>
      </c>
      <c r="I78" s="16">
        <v>168</v>
      </c>
      <c r="J78" s="16">
        <v>364</v>
      </c>
      <c r="K78" s="16">
        <v>308</v>
      </c>
      <c r="L78" s="16">
        <f t="shared" si="10"/>
        <v>196</v>
      </c>
      <c r="M78" s="20">
        <f t="shared" si="11"/>
        <v>0.67142857142857137</v>
      </c>
      <c r="N78" s="19">
        <v>0.21643799999999999</v>
      </c>
      <c r="O78" s="22">
        <v>100</v>
      </c>
      <c r="P78" s="13">
        <f t="shared" si="12"/>
        <v>-0.17755102040816326</v>
      </c>
      <c r="Q78" s="13">
        <f t="shared" si="13"/>
        <v>0.9912671428571429</v>
      </c>
      <c r="R78" s="16">
        <f t="shared" si="14"/>
        <v>36181.250714285714</v>
      </c>
      <c r="S78">
        <f t="shared" si="15"/>
        <v>25326.875499999998</v>
      </c>
    </row>
    <row r="79" spans="1:19" x14ac:dyDescent="0.3">
      <c r="A79" t="s">
        <v>100</v>
      </c>
      <c r="B79" t="s">
        <v>289</v>
      </c>
      <c r="C79" t="s">
        <v>332</v>
      </c>
      <c r="D79">
        <v>1</v>
      </c>
      <c r="E79" s="16">
        <v>1400</v>
      </c>
      <c r="F79" s="14">
        <v>60</v>
      </c>
      <c r="G79" s="15">
        <f t="shared" si="8"/>
        <v>0.6</v>
      </c>
      <c r="H79" s="18">
        <f t="shared" si="9"/>
        <v>10080</v>
      </c>
      <c r="I79" s="16">
        <v>226</v>
      </c>
      <c r="J79" s="16">
        <v>368</v>
      </c>
      <c r="K79" s="16">
        <v>308</v>
      </c>
      <c r="L79" s="16">
        <f t="shared" si="10"/>
        <v>142</v>
      </c>
      <c r="M79" s="20">
        <f t="shared" si="11"/>
        <v>0.56197183098591552</v>
      </c>
      <c r="N79" s="19">
        <v>0.6</v>
      </c>
      <c r="O79" s="22">
        <v>100</v>
      </c>
      <c r="P79" s="13">
        <f t="shared" si="12"/>
        <v>-0.60985915492957743</v>
      </c>
      <c r="Q79" s="13">
        <f t="shared" si="13"/>
        <v>1.3335254929577465</v>
      </c>
      <c r="R79" s="16">
        <f t="shared" si="14"/>
        <v>48673.680492957748</v>
      </c>
      <c r="S79">
        <f t="shared" si="15"/>
        <v>34071.576345070425</v>
      </c>
    </row>
    <row r="80" spans="1:19" x14ac:dyDescent="0.3">
      <c r="A80" t="s">
        <v>101</v>
      </c>
      <c r="B80" t="s">
        <v>289</v>
      </c>
      <c r="C80" t="s">
        <v>332</v>
      </c>
      <c r="D80">
        <v>2</v>
      </c>
      <c r="E80" s="16">
        <v>2000</v>
      </c>
      <c r="F80" s="14">
        <v>39.178100000000001</v>
      </c>
      <c r="G80" s="15">
        <f t="shared" si="8"/>
        <v>0.39178099999999999</v>
      </c>
      <c r="H80" s="18">
        <f t="shared" si="9"/>
        <v>9402.7440000000006</v>
      </c>
      <c r="I80" s="16">
        <v>285</v>
      </c>
      <c r="J80" s="16">
        <v>428</v>
      </c>
      <c r="K80" s="16">
        <v>342</v>
      </c>
      <c r="L80" s="16">
        <f t="shared" si="10"/>
        <v>143</v>
      </c>
      <c r="M80" s="20">
        <f t="shared" si="11"/>
        <v>0.4188811188811189</v>
      </c>
      <c r="N80" s="19">
        <v>0.39178099999999999</v>
      </c>
      <c r="O80" s="22">
        <v>100</v>
      </c>
      <c r="P80" s="13">
        <f t="shared" si="12"/>
        <v>-0.93496503496503491</v>
      </c>
      <c r="Q80" s="13">
        <f t="shared" si="13"/>
        <v>1.590911818181818</v>
      </c>
      <c r="R80" s="16">
        <f t="shared" si="14"/>
        <v>58068.281363636357</v>
      </c>
      <c r="S80">
        <f t="shared" si="15"/>
        <v>40647.796954545447</v>
      </c>
    </row>
    <row r="81" spans="1:19" x14ac:dyDescent="0.3">
      <c r="A81" t="s">
        <v>102</v>
      </c>
      <c r="B81" t="s">
        <v>290</v>
      </c>
      <c r="C81" t="s">
        <v>331</v>
      </c>
      <c r="D81">
        <v>1</v>
      </c>
      <c r="E81" s="16">
        <v>1000</v>
      </c>
      <c r="F81" s="14">
        <v>58.9041</v>
      </c>
      <c r="G81" s="15">
        <f t="shared" si="8"/>
        <v>0.58904100000000004</v>
      </c>
      <c r="H81" s="18">
        <f t="shared" si="9"/>
        <v>7068.4920000000002</v>
      </c>
      <c r="I81" s="16">
        <v>91</v>
      </c>
      <c r="J81" s="16">
        <v>342</v>
      </c>
      <c r="K81" s="16">
        <v>229</v>
      </c>
      <c r="L81" s="16">
        <f t="shared" si="10"/>
        <v>251</v>
      </c>
      <c r="M81" s="20">
        <f t="shared" si="11"/>
        <v>0.53984063745019917</v>
      </c>
      <c r="N81" s="19">
        <v>0.58904100000000004</v>
      </c>
      <c r="O81" s="22">
        <v>100</v>
      </c>
      <c r="P81" s="13">
        <f t="shared" si="12"/>
        <v>0.12868525896414343</v>
      </c>
      <c r="Q81" s="13">
        <f t="shared" si="13"/>
        <v>0.74881988047808767</v>
      </c>
      <c r="R81" s="16">
        <f t="shared" si="14"/>
        <v>27331.9256374502</v>
      </c>
      <c r="S81">
        <f t="shared" si="15"/>
        <v>19132.347946215137</v>
      </c>
    </row>
    <row r="82" spans="1:19" x14ac:dyDescent="0.3">
      <c r="A82" t="s">
        <v>103</v>
      </c>
      <c r="B82" t="s">
        <v>291</v>
      </c>
      <c r="C82" t="s">
        <v>331</v>
      </c>
      <c r="D82">
        <v>2</v>
      </c>
      <c r="E82" s="16">
        <v>2500</v>
      </c>
      <c r="F82" s="14">
        <v>29.315100000000001</v>
      </c>
      <c r="G82" s="15">
        <f t="shared" si="8"/>
        <v>0.29315099999999999</v>
      </c>
      <c r="H82" s="18">
        <f t="shared" si="9"/>
        <v>8794.5300000000007</v>
      </c>
      <c r="I82" s="16">
        <v>173</v>
      </c>
      <c r="J82" s="16">
        <v>581</v>
      </c>
      <c r="K82" s="16">
        <v>392</v>
      </c>
      <c r="L82" s="16">
        <f t="shared" si="10"/>
        <v>408</v>
      </c>
      <c r="M82" s="20">
        <f t="shared" si="11"/>
        <v>0.52941176470588236</v>
      </c>
      <c r="N82" s="19">
        <v>0.29315099999999999</v>
      </c>
      <c r="O82" s="22">
        <v>100</v>
      </c>
      <c r="P82" s="13">
        <f t="shared" si="12"/>
        <v>-4.3137254901960784E-2</v>
      </c>
      <c r="Q82" s="13">
        <f t="shared" si="13"/>
        <v>0.88485176470588234</v>
      </c>
      <c r="R82" s="16">
        <f t="shared" si="14"/>
        <v>32297.089411764704</v>
      </c>
      <c r="S82">
        <f t="shared" si="15"/>
        <v>22607.962588235292</v>
      </c>
    </row>
    <row r="83" spans="1:19" x14ac:dyDescent="0.3">
      <c r="A83" t="s">
        <v>104</v>
      </c>
      <c r="B83" t="s">
        <v>290</v>
      </c>
      <c r="C83" t="s">
        <v>331</v>
      </c>
      <c r="D83">
        <v>2</v>
      </c>
      <c r="E83" s="16">
        <v>1400</v>
      </c>
      <c r="F83" s="14">
        <v>27.1233</v>
      </c>
      <c r="G83" s="15">
        <f t="shared" si="8"/>
        <v>0.271233</v>
      </c>
      <c r="H83" s="18">
        <f t="shared" si="9"/>
        <v>4556.7143999999998</v>
      </c>
      <c r="I83" s="16">
        <v>168</v>
      </c>
      <c r="J83" s="16">
        <v>392</v>
      </c>
      <c r="K83" s="16">
        <v>322</v>
      </c>
      <c r="L83" s="16">
        <f t="shared" si="10"/>
        <v>224</v>
      </c>
      <c r="M83" s="20">
        <f t="shared" si="11"/>
        <v>0.65</v>
      </c>
      <c r="N83" s="19">
        <v>0.271233</v>
      </c>
      <c r="O83" s="22">
        <v>100</v>
      </c>
      <c r="P83" s="13">
        <f t="shared" si="12"/>
        <v>-0.14285714285714285</v>
      </c>
      <c r="Q83" s="13">
        <f t="shared" si="13"/>
        <v>0.96379999999999999</v>
      </c>
      <c r="R83" s="16">
        <f t="shared" si="14"/>
        <v>35178.699999999997</v>
      </c>
      <c r="S83">
        <f t="shared" si="15"/>
        <v>24625.089999999997</v>
      </c>
    </row>
    <row r="84" spans="1:19" x14ac:dyDescent="0.3">
      <c r="A84" t="s">
        <v>105</v>
      </c>
      <c r="B84" t="s">
        <v>290</v>
      </c>
      <c r="C84" t="s">
        <v>332</v>
      </c>
      <c r="D84">
        <v>1</v>
      </c>
      <c r="E84" s="16">
        <v>1300</v>
      </c>
      <c r="F84" s="14">
        <v>55.0685</v>
      </c>
      <c r="G84" s="15">
        <f t="shared" si="8"/>
        <v>0.55068499999999998</v>
      </c>
      <c r="H84" s="18">
        <f t="shared" si="9"/>
        <v>8590.6859999999997</v>
      </c>
      <c r="I84" s="16">
        <v>155</v>
      </c>
      <c r="J84" s="16">
        <v>494</v>
      </c>
      <c r="K84" s="16">
        <v>257</v>
      </c>
      <c r="L84" s="16">
        <f t="shared" si="10"/>
        <v>339</v>
      </c>
      <c r="M84" s="20">
        <f t="shared" si="11"/>
        <v>0.34070796460176989</v>
      </c>
      <c r="N84" s="19">
        <v>0.55068499999999998</v>
      </c>
      <c r="O84" s="22">
        <v>100</v>
      </c>
      <c r="P84" s="13">
        <f t="shared" si="12"/>
        <v>-2.9793510324483775E-2</v>
      </c>
      <c r="Q84" s="13">
        <f t="shared" si="13"/>
        <v>0.87428752212389382</v>
      </c>
      <c r="R84" s="16">
        <f t="shared" si="14"/>
        <v>31911.494557522125</v>
      </c>
      <c r="S84">
        <f t="shared" si="15"/>
        <v>22338.046190265486</v>
      </c>
    </row>
    <row r="85" spans="1:19" x14ac:dyDescent="0.3">
      <c r="A85" t="s">
        <v>106</v>
      </c>
      <c r="B85" t="s">
        <v>290</v>
      </c>
      <c r="C85" t="s">
        <v>332</v>
      </c>
      <c r="D85">
        <v>2</v>
      </c>
      <c r="E85" s="16">
        <v>1800</v>
      </c>
      <c r="F85" s="14">
        <v>45.205500000000001</v>
      </c>
      <c r="G85" s="15">
        <f t="shared" si="8"/>
        <v>0.45205499999999998</v>
      </c>
      <c r="H85" s="18">
        <f t="shared" si="9"/>
        <v>9764.387999999999</v>
      </c>
      <c r="I85" s="16">
        <v>151</v>
      </c>
      <c r="J85" s="16">
        <v>391</v>
      </c>
      <c r="K85" s="16">
        <v>286</v>
      </c>
      <c r="L85" s="16">
        <f t="shared" si="10"/>
        <v>240</v>
      </c>
      <c r="M85" s="20">
        <f t="shared" si="11"/>
        <v>0.55000000000000004</v>
      </c>
      <c r="N85" s="19">
        <v>0.45205499999999998</v>
      </c>
      <c r="O85" s="22">
        <v>100</v>
      </c>
      <c r="P85" s="13">
        <f t="shared" si="12"/>
        <v>-7.0000000000000007E-2</v>
      </c>
      <c r="Q85" s="13">
        <f t="shared" si="13"/>
        <v>0.90611900000000001</v>
      </c>
      <c r="R85" s="16">
        <f t="shared" si="14"/>
        <v>33073.343500000003</v>
      </c>
      <c r="S85">
        <f t="shared" si="15"/>
        <v>23151.34045</v>
      </c>
    </row>
    <row r="86" spans="1:19" x14ac:dyDescent="0.3">
      <c r="A86" t="s">
        <v>107</v>
      </c>
      <c r="B86" t="s">
        <v>292</v>
      </c>
      <c r="C86" t="s">
        <v>331</v>
      </c>
      <c r="D86">
        <v>1</v>
      </c>
      <c r="E86" s="16">
        <v>700</v>
      </c>
      <c r="F86" s="14">
        <v>51.780799999999999</v>
      </c>
      <c r="G86" s="15">
        <f t="shared" si="8"/>
        <v>0.51780800000000005</v>
      </c>
      <c r="H86" s="18">
        <f t="shared" si="9"/>
        <v>4349.5871999999999</v>
      </c>
      <c r="I86" s="16">
        <v>99</v>
      </c>
      <c r="J86" s="16">
        <v>265</v>
      </c>
      <c r="K86" s="16">
        <v>180</v>
      </c>
      <c r="L86" s="16">
        <f t="shared" si="10"/>
        <v>166</v>
      </c>
      <c r="M86" s="20">
        <f t="shared" si="11"/>
        <v>0.49036144578313251</v>
      </c>
      <c r="N86" s="19">
        <v>0.51780800000000005</v>
      </c>
      <c r="O86" s="22">
        <v>100</v>
      </c>
      <c r="P86" s="13">
        <f t="shared" si="12"/>
        <v>0.10481927710843374</v>
      </c>
      <c r="Q86" s="13">
        <f t="shared" si="13"/>
        <v>0.76771457831325307</v>
      </c>
      <c r="R86" s="16">
        <f t="shared" si="14"/>
        <v>28021.582108433737</v>
      </c>
      <c r="S86">
        <f t="shared" si="15"/>
        <v>19615.107475903613</v>
      </c>
    </row>
    <row r="87" spans="1:19" x14ac:dyDescent="0.3">
      <c r="A87" t="s">
        <v>108</v>
      </c>
      <c r="B87" t="s">
        <v>292</v>
      </c>
      <c r="C87" t="s">
        <v>331</v>
      </c>
      <c r="D87">
        <v>2</v>
      </c>
      <c r="E87" s="16">
        <v>900</v>
      </c>
      <c r="F87" s="14">
        <v>52.0548</v>
      </c>
      <c r="G87" s="15">
        <f t="shared" si="8"/>
        <v>0.52054800000000001</v>
      </c>
      <c r="H87" s="18">
        <f t="shared" si="9"/>
        <v>5621.9184000000005</v>
      </c>
      <c r="I87" s="16">
        <v>154</v>
      </c>
      <c r="J87" s="16">
        <v>286</v>
      </c>
      <c r="K87" s="16">
        <v>230</v>
      </c>
      <c r="L87" s="16">
        <f t="shared" si="10"/>
        <v>132</v>
      </c>
      <c r="M87" s="20">
        <f t="shared" si="11"/>
        <v>0.56060606060606055</v>
      </c>
      <c r="N87" s="19">
        <v>0.52054800000000001</v>
      </c>
      <c r="O87" s="22">
        <v>100</v>
      </c>
      <c r="P87" s="13">
        <f t="shared" si="12"/>
        <v>-0.22727272727272727</v>
      </c>
      <c r="Q87" s="13">
        <f t="shared" si="13"/>
        <v>1.0306318181818181</v>
      </c>
      <c r="R87" s="16">
        <f t="shared" si="14"/>
        <v>37618.061363636363</v>
      </c>
      <c r="S87">
        <f t="shared" si="15"/>
        <v>26332.642954545452</v>
      </c>
    </row>
    <row r="88" spans="1:19" x14ac:dyDescent="0.3">
      <c r="A88" t="s">
        <v>109</v>
      </c>
      <c r="B88" t="s">
        <v>292</v>
      </c>
      <c r="C88" t="s">
        <v>332</v>
      </c>
      <c r="D88">
        <v>1</v>
      </c>
      <c r="E88" s="16">
        <v>1000</v>
      </c>
      <c r="F88" s="14">
        <v>63.0137</v>
      </c>
      <c r="G88" s="15">
        <f t="shared" si="8"/>
        <v>0.63013699999999995</v>
      </c>
      <c r="H88" s="18">
        <f t="shared" si="9"/>
        <v>7561.6439999999993</v>
      </c>
      <c r="I88" s="16">
        <v>190</v>
      </c>
      <c r="J88" s="16">
        <v>462</v>
      </c>
      <c r="K88" s="16">
        <v>221</v>
      </c>
      <c r="L88" s="16">
        <f t="shared" si="10"/>
        <v>272</v>
      </c>
      <c r="M88" s="20">
        <f t="shared" si="11"/>
        <v>0.19117647058823528</v>
      </c>
      <c r="N88" s="19">
        <v>0.63013699999999995</v>
      </c>
      <c r="O88" s="22">
        <v>100</v>
      </c>
      <c r="P88" s="13">
        <f t="shared" si="12"/>
        <v>-0.16470588235294117</v>
      </c>
      <c r="Q88" s="13">
        <f t="shared" si="13"/>
        <v>0.98109764705882352</v>
      </c>
      <c r="R88" s="16">
        <f t="shared" si="14"/>
        <v>35810.06411764706</v>
      </c>
      <c r="S88">
        <f t="shared" si="15"/>
        <v>25067.04488235294</v>
      </c>
    </row>
    <row r="89" spans="1:19" x14ac:dyDescent="0.3">
      <c r="A89" t="s">
        <v>110</v>
      </c>
      <c r="B89" t="s">
        <v>292</v>
      </c>
      <c r="C89" t="s">
        <v>332</v>
      </c>
      <c r="D89">
        <v>2</v>
      </c>
      <c r="E89" s="16">
        <v>1200</v>
      </c>
      <c r="F89" s="14">
        <v>36.9863</v>
      </c>
      <c r="G89" s="15">
        <f t="shared" si="8"/>
        <v>0.369863</v>
      </c>
      <c r="H89" s="18">
        <f t="shared" si="9"/>
        <v>5326.0271999999995</v>
      </c>
      <c r="I89" s="16">
        <v>205</v>
      </c>
      <c r="J89" s="16">
        <v>411</v>
      </c>
      <c r="K89" s="16">
        <v>316</v>
      </c>
      <c r="L89" s="16">
        <f t="shared" si="10"/>
        <v>206</v>
      </c>
      <c r="M89" s="20">
        <f t="shared" si="11"/>
        <v>0.53106796116504851</v>
      </c>
      <c r="N89" s="19">
        <v>0.369863</v>
      </c>
      <c r="O89" s="22">
        <v>100</v>
      </c>
      <c r="P89" s="13">
        <f t="shared" si="12"/>
        <v>-0.30776699029126214</v>
      </c>
      <c r="Q89" s="13">
        <f t="shared" si="13"/>
        <v>1.0943591262135923</v>
      </c>
      <c r="R89" s="16">
        <f t="shared" si="14"/>
        <v>39944.10810679612</v>
      </c>
      <c r="S89">
        <f t="shared" si="15"/>
        <v>27960.875674757284</v>
      </c>
    </row>
    <row r="90" spans="1:19" x14ac:dyDescent="0.3">
      <c r="A90" t="s">
        <v>111</v>
      </c>
      <c r="B90" t="s">
        <v>293</v>
      </c>
      <c r="C90" t="s">
        <v>331</v>
      </c>
      <c r="D90">
        <v>1</v>
      </c>
      <c r="E90" s="16">
        <v>700</v>
      </c>
      <c r="F90" s="14">
        <v>56.9863</v>
      </c>
      <c r="G90" s="15">
        <f t="shared" si="8"/>
        <v>0.56986300000000001</v>
      </c>
      <c r="H90" s="18">
        <f t="shared" si="9"/>
        <v>4786.8491999999997</v>
      </c>
      <c r="I90" s="16">
        <v>192</v>
      </c>
      <c r="J90" s="16">
        <v>313</v>
      </c>
      <c r="K90" s="16">
        <v>245</v>
      </c>
      <c r="L90" s="16">
        <f t="shared" si="10"/>
        <v>121</v>
      </c>
      <c r="M90" s="20">
        <f t="shared" si="11"/>
        <v>0.45041322314049587</v>
      </c>
      <c r="N90" s="19">
        <v>0.56986300000000001</v>
      </c>
      <c r="O90" s="22">
        <v>100</v>
      </c>
      <c r="P90" s="13">
        <f t="shared" si="12"/>
        <v>-0.50826446280991733</v>
      </c>
      <c r="Q90" s="13">
        <f t="shared" si="13"/>
        <v>1.2530929752066116</v>
      </c>
      <c r="R90" s="16">
        <f t="shared" si="14"/>
        <v>45737.893595041322</v>
      </c>
      <c r="S90">
        <f t="shared" si="15"/>
        <v>32016.525516528924</v>
      </c>
    </row>
    <row r="91" spans="1:19" x14ac:dyDescent="0.3">
      <c r="A91" t="s">
        <v>112</v>
      </c>
      <c r="B91" t="s">
        <v>293</v>
      </c>
      <c r="C91" t="s">
        <v>331</v>
      </c>
      <c r="D91">
        <v>2</v>
      </c>
      <c r="E91" s="16">
        <v>1000</v>
      </c>
      <c r="F91" s="14">
        <v>41.9178</v>
      </c>
      <c r="G91" s="15">
        <f t="shared" si="8"/>
        <v>0.419178</v>
      </c>
      <c r="H91" s="18">
        <f t="shared" si="9"/>
        <v>5030.1359999999995</v>
      </c>
      <c r="I91" s="16">
        <v>192</v>
      </c>
      <c r="J91" s="16">
        <v>357</v>
      </c>
      <c r="K91" s="16">
        <v>266</v>
      </c>
      <c r="L91" s="16">
        <f t="shared" si="10"/>
        <v>165</v>
      </c>
      <c r="M91" s="20">
        <f t="shared" si="11"/>
        <v>0.4587878787878788</v>
      </c>
      <c r="N91" s="19">
        <v>0.419178</v>
      </c>
      <c r="O91" s="22">
        <v>100</v>
      </c>
      <c r="P91" s="13">
        <f t="shared" si="12"/>
        <v>-0.34606060606060607</v>
      </c>
      <c r="Q91" s="13">
        <f t="shared" si="13"/>
        <v>1.1246761818181819</v>
      </c>
      <c r="R91" s="16">
        <f t="shared" si="14"/>
        <v>41050.680636363635</v>
      </c>
      <c r="S91">
        <f t="shared" si="15"/>
        <v>28735.476445454544</v>
      </c>
    </row>
    <row r="92" spans="1:19" x14ac:dyDescent="0.3">
      <c r="A92" t="s">
        <v>113</v>
      </c>
      <c r="B92" t="s">
        <v>293</v>
      </c>
      <c r="C92" t="s">
        <v>332</v>
      </c>
      <c r="D92">
        <v>1</v>
      </c>
      <c r="E92" s="16">
        <v>800</v>
      </c>
      <c r="F92" s="14">
        <v>45.479500000000002</v>
      </c>
      <c r="G92" s="15">
        <f t="shared" si="8"/>
        <v>0.454795</v>
      </c>
      <c r="H92" s="18">
        <f t="shared" si="9"/>
        <v>4366.0320000000002</v>
      </c>
      <c r="I92" s="16">
        <v>186</v>
      </c>
      <c r="J92" s="16">
        <v>465</v>
      </c>
      <c r="K92" s="16">
        <v>325</v>
      </c>
      <c r="L92" s="16">
        <f t="shared" si="10"/>
        <v>279</v>
      </c>
      <c r="M92" s="20">
        <f t="shared" si="11"/>
        <v>0.49856630824372761</v>
      </c>
      <c r="N92" s="19">
        <v>0.454795</v>
      </c>
      <c r="O92" s="22">
        <v>100</v>
      </c>
      <c r="P92" s="13">
        <f t="shared" si="12"/>
        <v>-0.14659498207885305</v>
      </c>
      <c r="Q92" s="13">
        <f t="shared" si="13"/>
        <v>0.96675924731182794</v>
      </c>
      <c r="R92" s="16">
        <f t="shared" si="14"/>
        <v>35286.712526881718</v>
      </c>
      <c r="S92">
        <f t="shared" si="15"/>
        <v>24700.698768817201</v>
      </c>
    </row>
    <row r="93" spans="1:19" x14ac:dyDescent="0.3">
      <c r="A93" t="s">
        <v>114</v>
      </c>
      <c r="B93" t="s">
        <v>291</v>
      </c>
      <c r="C93" t="s">
        <v>332</v>
      </c>
      <c r="D93">
        <v>1</v>
      </c>
      <c r="E93" s="16">
        <v>2500</v>
      </c>
      <c r="F93" s="14">
        <v>62.191800000000001</v>
      </c>
      <c r="G93" s="15">
        <f t="shared" si="8"/>
        <v>0.62191799999999997</v>
      </c>
      <c r="H93" s="18">
        <f t="shared" si="9"/>
        <v>18657.54</v>
      </c>
      <c r="I93" s="16">
        <v>189</v>
      </c>
      <c r="J93" s="16">
        <v>588</v>
      </c>
      <c r="K93" s="16">
        <v>393</v>
      </c>
      <c r="L93" s="16">
        <f t="shared" si="10"/>
        <v>399</v>
      </c>
      <c r="M93" s="20">
        <f t="shared" si="11"/>
        <v>0.50902255639097749</v>
      </c>
      <c r="N93" s="19">
        <v>0.62191799999999997</v>
      </c>
      <c r="O93" s="22">
        <v>100</v>
      </c>
      <c r="P93" s="13">
        <f t="shared" si="12"/>
        <v>-7.8446115288220555E-2</v>
      </c>
      <c r="Q93" s="13">
        <f t="shared" si="13"/>
        <v>0.91280578947368418</v>
      </c>
      <c r="R93" s="16">
        <f t="shared" si="14"/>
        <v>33317.411315789475</v>
      </c>
      <c r="S93">
        <f t="shared" si="15"/>
        <v>23322.187921052631</v>
      </c>
    </row>
    <row r="94" spans="1:19" x14ac:dyDescent="0.3">
      <c r="A94" t="s">
        <v>115</v>
      </c>
      <c r="B94" t="s">
        <v>293</v>
      </c>
      <c r="C94" t="s">
        <v>332</v>
      </c>
      <c r="D94">
        <v>2</v>
      </c>
      <c r="E94" s="16">
        <v>900</v>
      </c>
      <c r="F94" s="14">
        <v>70.9589</v>
      </c>
      <c r="G94" s="15">
        <f t="shared" si="8"/>
        <v>0.70958900000000003</v>
      </c>
      <c r="H94" s="18">
        <f t="shared" si="9"/>
        <v>7663.5612000000001</v>
      </c>
      <c r="I94" s="16">
        <v>209</v>
      </c>
      <c r="J94" s="16">
        <v>358</v>
      </c>
      <c r="K94" s="16">
        <v>256</v>
      </c>
      <c r="L94" s="16">
        <f t="shared" si="10"/>
        <v>149</v>
      </c>
      <c r="M94" s="20">
        <f t="shared" si="11"/>
        <v>0.3523489932885906</v>
      </c>
      <c r="N94" s="19">
        <v>0.70958900000000003</v>
      </c>
      <c r="O94" s="22">
        <v>100</v>
      </c>
      <c r="P94" s="13">
        <f t="shared" si="12"/>
        <v>-0.48523489932885905</v>
      </c>
      <c r="Q94" s="13">
        <f t="shared" si="13"/>
        <v>1.2348604697986576</v>
      </c>
      <c r="R94" s="16">
        <f t="shared" si="14"/>
        <v>45072.407147651</v>
      </c>
      <c r="S94">
        <f t="shared" si="15"/>
        <v>31550.685003355698</v>
      </c>
    </row>
    <row r="95" spans="1:19" x14ac:dyDescent="0.3">
      <c r="A95" t="s">
        <v>116</v>
      </c>
      <c r="B95" t="s">
        <v>294</v>
      </c>
      <c r="C95" t="s">
        <v>331</v>
      </c>
      <c r="D95">
        <v>1</v>
      </c>
      <c r="E95" s="16">
        <v>700</v>
      </c>
      <c r="F95" s="14">
        <v>30.9589</v>
      </c>
      <c r="G95" s="15">
        <f t="shared" si="8"/>
        <v>0.309589</v>
      </c>
      <c r="H95" s="18">
        <f t="shared" si="9"/>
        <v>2600.5475999999999</v>
      </c>
      <c r="I95" s="16">
        <v>42</v>
      </c>
      <c r="J95" s="16">
        <v>252</v>
      </c>
      <c r="K95" s="16">
        <v>184</v>
      </c>
      <c r="L95" s="16">
        <f t="shared" si="10"/>
        <v>210</v>
      </c>
      <c r="M95" s="20">
        <f t="shared" si="11"/>
        <v>0.64095238095238094</v>
      </c>
      <c r="N95" s="19">
        <v>0.309589</v>
      </c>
      <c r="O95" s="22">
        <v>100</v>
      </c>
      <c r="P95" s="13">
        <f t="shared" si="12"/>
        <v>0.32095238095238093</v>
      </c>
      <c r="Q95" s="13">
        <f t="shared" si="13"/>
        <v>0.59660200000000008</v>
      </c>
      <c r="R95" s="16">
        <f t="shared" si="14"/>
        <v>21775.973000000002</v>
      </c>
      <c r="S95">
        <f t="shared" si="15"/>
        <v>15243.1811</v>
      </c>
    </row>
    <row r="96" spans="1:19" x14ac:dyDescent="0.3">
      <c r="A96" t="s">
        <v>117</v>
      </c>
      <c r="B96" t="s">
        <v>294</v>
      </c>
      <c r="C96" t="s">
        <v>331</v>
      </c>
      <c r="D96">
        <v>2</v>
      </c>
      <c r="E96" s="16">
        <v>1000</v>
      </c>
      <c r="F96" s="14">
        <v>24.1096</v>
      </c>
      <c r="G96" s="15">
        <f t="shared" si="8"/>
        <v>0.241096</v>
      </c>
      <c r="H96" s="18">
        <f t="shared" si="9"/>
        <v>2893.152</v>
      </c>
      <c r="I96" s="16">
        <v>94</v>
      </c>
      <c r="J96" s="16">
        <v>531</v>
      </c>
      <c r="K96" s="16">
        <v>427</v>
      </c>
      <c r="L96" s="16">
        <f t="shared" si="10"/>
        <v>437</v>
      </c>
      <c r="M96" s="20">
        <f t="shared" si="11"/>
        <v>0.70961098398169331</v>
      </c>
      <c r="N96" s="19">
        <v>0.241096</v>
      </c>
      <c r="O96" s="22">
        <v>100</v>
      </c>
      <c r="P96" s="13">
        <f t="shared" si="12"/>
        <v>0.11098398169336385</v>
      </c>
      <c r="Q96" s="13">
        <f t="shared" si="13"/>
        <v>0.76283398169336381</v>
      </c>
      <c r="R96" s="16">
        <f t="shared" si="14"/>
        <v>27843.440331807778</v>
      </c>
      <c r="S96">
        <f t="shared" si="15"/>
        <v>19490.408232265443</v>
      </c>
    </row>
    <row r="97" spans="1:19" x14ac:dyDescent="0.3">
      <c r="A97" t="s">
        <v>118</v>
      </c>
      <c r="B97" t="s">
        <v>294</v>
      </c>
      <c r="C97" t="s">
        <v>332</v>
      </c>
      <c r="D97">
        <v>1</v>
      </c>
      <c r="E97" s="16">
        <v>900</v>
      </c>
      <c r="F97" s="14">
        <v>4.6574999999999998</v>
      </c>
      <c r="G97" s="15">
        <f t="shared" si="8"/>
        <v>4.6574999999999998E-2</v>
      </c>
      <c r="H97" s="18">
        <f t="shared" si="9"/>
        <v>503.01</v>
      </c>
      <c r="I97" s="16">
        <v>86</v>
      </c>
      <c r="J97" s="16">
        <v>488</v>
      </c>
      <c r="K97" s="16">
        <v>418</v>
      </c>
      <c r="L97" s="16">
        <f t="shared" si="10"/>
        <v>402</v>
      </c>
      <c r="M97" s="20">
        <f t="shared" si="11"/>
        <v>0.76069651741293531</v>
      </c>
      <c r="N97" s="19">
        <v>4.6574999999999998E-2</v>
      </c>
      <c r="O97" s="22">
        <v>100</v>
      </c>
      <c r="P97" s="13">
        <f t="shared" si="12"/>
        <v>0.12786069651741294</v>
      </c>
      <c r="Q97" s="13">
        <f t="shared" si="13"/>
        <v>0.74947268656716415</v>
      </c>
      <c r="R97" s="16">
        <f t="shared" si="14"/>
        <v>27355.753059701492</v>
      </c>
      <c r="S97">
        <f t="shared" si="15"/>
        <v>19149.027141791044</v>
      </c>
    </row>
    <row r="98" spans="1:19" x14ac:dyDescent="0.3">
      <c r="A98" t="s">
        <v>119</v>
      </c>
      <c r="B98" t="s">
        <v>294</v>
      </c>
      <c r="C98" t="s">
        <v>332</v>
      </c>
      <c r="D98">
        <v>2</v>
      </c>
      <c r="E98" s="16">
        <v>1200</v>
      </c>
      <c r="F98" s="14">
        <v>63.561599999999999</v>
      </c>
      <c r="G98" s="15">
        <f t="shared" si="8"/>
        <v>0.63561599999999996</v>
      </c>
      <c r="H98" s="18">
        <f t="shared" si="9"/>
        <v>9152.8703999999998</v>
      </c>
      <c r="I98" s="16">
        <v>83</v>
      </c>
      <c r="J98" s="16">
        <v>556</v>
      </c>
      <c r="K98" s="16">
        <v>219</v>
      </c>
      <c r="L98" s="16">
        <f t="shared" si="10"/>
        <v>473</v>
      </c>
      <c r="M98" s="20">
        <f t="shared" si="11"/>
        <v>0.33002114164904861</v>
      </c>
      <c r="N98" s="19">
        <v>0.63561599999999996</v>
      </c>
      <c r="O98" s="22">
        <v>100</v>
      </c>
      <c r="P98" s="13">
        <f t="shared" si="12"/>
        <v>0.12875264270613107</v>
      </c>
      <c r="Q98" s="13">
        <f t="shared" si="13"/>
        <v>0.74876653276955607</v>
      </c>
      <c r="R98" s="16">
        <f t="shared" si="14"/>
        <v>27329.978446088797</v>
      </c>
      <c r="S98">
        <f t="shared" si="15"/>
        <v>19130.984912262156</v>
      </c>
    </row>
    <row r="99" spans="1:19" x14ac:dyDescent="0.3">
      <c r="A99" t="s">
        <v>120</v>
      </c>
      <c r="B99" t="s">
        <v>295</v>
      </c>
      <c r="C99" t="s">
        <v>331</v>
      </c>
      <c r="D99">
        <v>1</v>
      </c>
      <c r="E99" s="16">
        <v>1100</v>
      </c>
      <c r="F99" s="14">
        <v>43.0137</v>
      </c>
      <c r="G99" s="15">
        <f t="shared" si="8"/>
        <v>0.43013699999999999</v>
      </c>
      <c r="H99" s="18">
        <f t="shared" si="9"/>
        <v>5677.8083999999999</v>
      </c>
      <c r="I99" s="16">
        <v>84</v>
      </c>
      <c r="J99" s="16">
        <v>301</v>
      </c>
      <c r="K99" s="16">
        <v>220</v>
      </c>
      <c r="L99" s="16">
        <f t="shared" si="10"/>
        <v>217</v>
      </c>
      <c r="M99" s="20">
        <f t="shared" si="11"/>
        <v>0.60138248847926268</v>
      </c>
      <c r="N99" s="19">
        <v>0.43013699999999999</v>
      </c>
      <c r="O99" s="22">
        <v>100</v>
      </c>
      <c r="P99" s="13">
        <f t="shared" si="12"/>
        <v>0.15898617511520738</v>
      </c>
      <c r="Q99" s="13">
        <f t="shared" si="13"/>
        <v>0.72483064516129037</v>
      </c>
      <c r="R99" s="16">
        <f t="shared" si="14"/>
        <v>26456.318548387098</v>
      </c>
      <c r="S99">
        <f t="shared" si="15"/>
        <v>18519.422983870969</v>
      </c>
    </row>
    <row r="100" spans="1:19" x14ac:dyDescent="0.3">
      <c r="A100" t="s">
        <v>121</v>
      </c>
      <c r="B100" t="s">
        <v>295</v>
      </c>
      <c r="C100" t="s">
        <v>331</v>
      </c>
      <c r="D100">
        <v>2</v>
      </c>
      <c r="E100" s="16">
        <v>1400</v>
      </c>
      <c r="F100" s="14">
        <v>38.0822</v>
      </c>
      <c r="G100" s="15">
        <f t="shared" si="8"/>
        <v>0.38082199999999999</v>
      </c>
      <c r="H100" s="18">
        <f t="shared" si="9"/>
        <v>6397.8095999999996</v>
      </c>
      <c r="I100" s="16">
        <v>134</v>
      </c>
      <c r="J100" s="16">
        <v>568</v>
      </c>
      <c r="K100" s="16">
        <v>481</v>
      </c>
      <c r="L100" s="16">
        <f t="shared" si="10"/>
        <v>434</v>
      </c>
      <c r="M100" s="20">
        <f t="shared" si="11"/>
        <v>0.73963133640552992</v>
      </c>
      <c r="N100" s="19">
        <v>0.38082199999999999</v>
      </c>
      <c r="O100" s="22">
        <v>100</v>
      </c>
      <c r="P100" s="13">
        <f t="shared" si="12"/>
        <v>3.7327188940092168E-2</v>
      </c>
      <c r="Q100" s="13">
        <f t="shared" si="13"/>
        <v>0.82114806451612909</v>
      </c>
      <c r="R100" s="16">
        <f t="shared" si="14"/>
        <v>29971.904354838713</v>
      </c>
      <c r="S100">
        <f t="shared" si="15"/>
        <v>20980.333048387096</v>
      </c>
    </row>
    <row r="101" spans="1:19" x14ac:dyDescent="0.3">
      <c r="A101" t="s">
        <v>122</v>
      </c>
      <c r="B101" t="s">
        <v>295</v>
      </c>
      <c r="C101" t="s">
        <v>332</v>
      </c>
      <c r="D101">
        <v>1</v>
      </c>
      <c r="E101" s="16">
        <v>1300</v>
      </c>
      <c r="F101" s="14">
        <v>45.753399999999999</v>
      </c>
      <c r="G101" s="15">
        <f t="shared" si="8"/>
        <v>0.457534</v>
      </c>
      <c r="H101" s="18">
        <f t="shared" si="9"/>
        <v>7137.5303999999996</v>
      </c>
      <c r="I101" s="16">
        <v>109</v>
      </c>
      <c r="J101" s="16">
        <v>615</v>
      </c>
      <c r="K101" s="16">
        <v>280</v>
      </c>
      <c r="L101" s="16">
        <f t="shared" si="10"/>
        <v>506</v>
      </c>
      <c r="M101" s="20">
        <f t="shared" si="11"/>
        <v>0.37035573122529647</v>
      </c>
      <c r="N101" s="19">
        <v>0.457534</v>
      </c>
      <c r="O101" s="22">
        <v>100</v>
      </c>
      <c r="P101" s="13">
        <f t="shared" si="12"/>
        <v>8.5770750988142297E-2</v>
      </c>
      <c r="Q101" s="13">
        <f t="shared" si="13"/>
        <v>0.78279529644268775</v>
      </c>
      <c r="R101" s="16">
        <f t="shared" si="14"/>
        <v>28572.028320158104</v>
      </c>
      <c r="S101">
        <f t="shared" si="15"/>
        <v>20000.419824110671</v>
      </c>
    </row>
    <row r="102" spans="1:19" x14ac:dyDescent="0.3">
      <c r="A102" t="s">
        <v>123</v>
      </c>
      <c r="B102" t="s">
        <v>295</v>
      </c>
      <c r="C102" t="s">
        <v>332</v>
      </c>
      <c r="D102">
        <v>2</v>
      </c>
      <c r="E102" s="16">
        <v>1900</v>
      </c>
      <c r="F102" s="14">
        <v>18.9041</v>
      </c>
      <c r="G102" s="15">
        <f t="shared" si="8"/>
        <v>0.18904099999999999</v>
      </c>
      <c r="H102" s="18">
        <f t="shared" si="9"/>
        <v>4310.1347999999998</v>
      </c>
      <c r="I102" s="16">
        <v>227</v>
      </c>
      <c r="J102" s="16">
        <v>861</v>
      </c>
      <c r="K102" s="16">
        <v>568</v>
      </c>
      <c r="L102" s="16">
        <f t="shared" si="10"/>
        <v>634</v>
      </c>
      <c r="M102" s="20">
        <f t="shared" si="11"/>
        <v>0.53028391167192424</v>
      </c>
      <c r="N102" s="19">
        <v>0.18904099999999999</v>
      </c>
      <c r="O102" s="22">
        <v>100</v>
      </c>
      <c r="P102" s="13">
        <f t="shared" si="12"/>
        <v>-6.0252365930599371E-2</v>
      </c>
      <c r="Q102" s="13">
        <f t="shared" si="13"/>
        <v>0.89840179810725551</v>
      </c>
      <c r="R102" s="16">
        <f t="shared" si="14"/>
        <v>32791.665630914824</v>
      </c>
      <c r="S102">
        <f t="shared" si="15"/>
        <v>22954.165941640375</v>
      </c>
    </row>
    <row r="103" spans="1:19" x14ac:dyDescent="0.3">
      <c r="A103" t="s">
        <v>124</v>
      </c>
      <c r="B103" t="s">
        <v>296</v>
      </c>
      <c r="C103" t="s">
        <v>331</v>
      </c>
      <c r="D103">
        <v>1</v>
      </c>
      <c r="E103" s="16">
        <v>900</v>
      </c>
      <c r="F103" s="14">
        <v>29.0411</v>
      </c>
      <c r="G103" s="15">
        <f t="shared" si="8"/>
        <v>0.29041099999999997</v>
      </c>
      <c r="H103" s="18">
        <f t="shared" si="9"/>
        <v>3136.4387999999999</v>
      </c>
      <c r="I103" s="16">
        <v>176</v>
      </c>
      <c r="J103" s="16">
        <v>440</v>
      </c>
      <c r="K103" s="16">
        <v>318</v>
      </c>
      <c r="L103" s="16">
        <f t="shared" si="10"/>
        <v>264</v>
      </c>
      <c r="M103" s="20">
        <f t="shared" si="11"/>
        <v>0.53030303030303028</v>
      </c>
      <c r="N103" s="19">
        <v>0.29041099999999997</v>
      </c>
      <c r="O103" s="22">
        <v>100</v>
      </c>
      <c r="P103" s="13">
        <f t="shared" si="12"/>
        <v>-0.13030303030303031</v>
      </c>
      <c r="Q103" s="13">
        <f t="shared" si="13"/>
        <v>0.95386090909090915</v>
      </c>
      <c r="R103" s="16">
        <f t="shared" si="14"/>
        <v>34815.923181818187</v>
      </c>
      <c r="S103">
        <f t="shared" si="15"/>
        <v>24371.146227272729</v>
      </c>
    </row>
    <row r="104" spans="1:19" x14ac:dyDescent="0.3">
      <c r="A104" t="s">
        <v>125</v>
      </c>
      <c r="B104" t="s">
        <v>291</v>
      </c>
      <c r="C104" t="s">
        <v>332</v>
      </c>
      <c r="D104">
        <v>2</v>
      </c>
      <c r="E104" s="16">
        <v>2800</v>
      </c>
      <c r="F104" s="14">
        <v>29.863</v>
      </c>
      <c r="G104" s="15">
        <f t="shared" si="8"/>
        <v>0.29863000000000001</v>
      </c>
      <c r="H104" s="18">
        <f t="shared" si="9"/>
        <v>10033.968000000001</v>
      </c>
      <c r="I104" s="16">
        <v>191</v>
      </c>
      <c r="J104" s="16">
        <v>826</v>
      </c>
      <c r="K104" s="16">
        <v>556</v>
      </c>
      <c r="L104" s="16">
        <f t="shared" si="10"/>
        <v>635</v>
      </c>
      <c r="M104" s="20">
        <f t="shared" si="11"/>
        <v>0.5598425196850394</v>
      </c>
      <c r="N104" s="19">
        <v>0.29863000000000001</v>
      </c>
      <c r="O104" s="22">
        <v>100</v>
      </c>
      <c r="P104" s="13">
        <f t="shared" si="12"/>
        <v>-1.4645669291338584E-2</v>
      </c>
      <c r="Q104" s="13">
        <f t="shared" si="13"/>
        <v>0.86229497637795272</v>
      </c>
      <c r="R104" s="16">
        <f t="shared" si="14"/>
        <v>31473.766637795274</v>
      </c>
      <c r="S104">
        <f t="shared" si="15"/>
        <v>22031.636646456689</v>
      </c>
    </row>
    <row r="105" spans="1:19" x14ac:dyDescent="0.3">
      <c r="A105" t="s">
        <v>126</v>
      </c>
      <c r="B105" t="s">
        <v>296</v>
      </c>
      <c r="C105" t="s">
        <v>331</v>
      </c>
      <c r="D105">
        <v>2</v>
      </c>
      <c r="E105" s="16">
        <v>1100</v>
      </c>
      <c r="F105" s="14">
        <v>58.0822</v>
      </c>
      <c r="G105" s="15">
        <f t="shared" si="8"/>
        <v>0.58082199999999995</v>
      </c>
      <c r="H105" s="18">
        <f t="shared" si="9"/>
        <v>7666.8503999999994</v>
      </c>
      <c r="I105" s="16">
        <v>225</v>
      </c>
      <c r="J105" s="16">
        <v>1033</v>
      </c>
      <c r="K105" s="16">
        <v>538</v>
      </c>
      <c r="L105" s="16">
        <f t="shared" si="10"/>
        <v>808</v>
      </c>
      <c r="M105" s="20">
        <f t="shared" si="11"/>
        <v>0.40990099009900988</v>
      </c>
      <c r="N105" s="19">
        <v>0.58082199999999995</v>
      </c>
      <c r="O105" s="22">
        <v>100</v>
      </c>
      <c r="P105" s="13">
        <f t="shared" si="12"/>
        <v>-2.3762376237623763E-2</v>
      </c>
      <c r="Q105" s="13">
        <f t="shared" si="13"/>
        <v>0.86951267326732673</v>
      </c>
      <c r="R105" s="16">
        <f t="shared" si="14"/>
        <v>31737.212574257424</v>
      </c>
      <c r="S105">
        <f t="shared" si="15"/>
        <v>22216.048801980196</v>
      </c>
    </row>
    <row r="106" spans="1:19" x14ac:dyDescent="0.3">
      <c r="A106" t="s">
        <v>127</v>
      </c>
      <c r="B106" t="s">
        <v>296</v>
      </c>
      <c r="C106" t="s">
        <v>332</v>
      </c>
      <c r="D106">
        <v>1</v>
      </c>
      <c r="E106" s="16">
        <v>1300</v>
      </c>
      <c r="F106" s="14">
        <v>39.178100000000001</v>
      </c>
      <c r="G106" s="15">
        <f t="shared" si="8"/>
        <v>0.39178099999999999</v>
      </c>
      <c r="H106" s="18">
        <f t="shared" si="9"/>
        <v>6111.7835999999998</v>
      </c>
      <c r="I106" s="16">
        <v>157</v>
      </c>
      <c r="J106" s="16">
        <v>471</v>
      </c>
      <c r="K106" s="16">
        <v>318</v>
      </c>
      <c r="L106" s="16">
        <f t="shared" si="10"/>
        <v>314</v>
      </c>
      <c r="M106" s="20">
        <f t="shared" si="11"/>
        <v>0.51019108280254777</v>
      </c>
      <c r="N106" s="19">
        <v>0.39178099999999999</v>
      </c>
      <c r="O106" s="22">
        <v>100</v>
      </c>
      <c r="P106" s="13">
        <f t="shared" si="12"/>
        <v>-4.5222929936305729E-2</v>
      </c>
      <c r="Q106" s="13">
        <f t="shared" si="13"/>
        <v>0.88650299363057328</v>
      </c>
      <c r="R106" s="16">
        <f t="shared" si="14"/>
        <v>32357.359267515923</v>
      </c>
      <c r="S106">
        <f t="shared" si="15"/>
        <v>22650.151487261144</v>
      </c>
    </row>
    <row r="107" spans="1:19" x14ac:dyDescent="0.3">
      <c r="A107" t="s">
        <v>128</v>
      </c>
      <c r="B107" t="s">
        <v>296</v>
      </c>
      <c r="C107" t="s">
        <v>332</v>
      </c>
      <c r="D107">
        <v>2</v>
      </c>
      <c r="E107" s="16">
        <v>1600</v>
      </c>
      <c r="F107" s="14">
        <v>38.630099999999999</v>
      </c>
      <c r="G107" s="15">
        <f t="shared" si="8"/>
        <v>0.38630100000000001</v>
      </c>
      <c r="H107" s="18">
        <f t="shared" si="9"/>
        <v>7416.9791999999998</v>
      </c>
      <c r="I107" s="16">
        <v>253</v>
      </c>
      <c r="J107" s="16">
        <v>886</v>
      </c>
      <c r="K107" s="16">
        <v>680</v>
      </c>
      <c r="L107" s="16">
        <f t="shared" si="10"/>
        <v>633</v>
      </c>
      <c r="M107" s="20">
        <f t="shared" si="11"/>
        <v>0.63965244865718796</v>
      </c>
      <c r="N107" s="19">
        <v>0.38630100000000001</v>
      </c>
      <c r="O107" s="22">
        <v>100</v>
      </c>
      <c r="P107" s="13">
        <f t="shared" si="12"/>
        <v>-9.3364928909952613E-2</v>
      </c>
      <c r="Q107" s="13">
        <f t="shared" si="13"/>
        <v>0.92461701421800946</v>
      </c>
      <c r="R107" s="16">
        <f t="shared" si="14"/>
        <v>33748.521018957348</v>
      </c>
      <c r="S107">
        <f t="shared" si="15"/>
        <v>23623.964713270143</v>
      </c>
    </row>
    <row r="108" spans="1:19" x14ac:dyDescent="0.3">
      <c r="A108" t="s">
        <v>129</v>
      </c>
      <c r="B108" t="s">
        <v>297</v>
      </c>
      <c r="C108" t="s">
        <v>331</v>
      </c>
      <c r="D108">
        <v>1</v>
      </c>
      <c r="E108" s="16">
        <v>1400</v>
      </c>
      <c r="F108" s="14">
        <v>48.767099999999999</v>
      </c>
      <c r="G108" s="15">
        <f t="shared" si="8"/>
        <v>0.48767099999999997</v>
      </c>
      <c r="H108" s="18">
        <f t="shared" si="9"/>
        <v>8192.8727999999992</v>
      </c>
      <c r="I108" s="16">
        <v>76</v>
      </c>
      <c r="J108" s="16">
        <v>342</v>
      </c>
      <c r="K108" s="16">
        <v>202</v>
      </c>
      <c r="L108" s="16">
        <f t="shared" si="10"/>
        <v>266</v>
      </c>
      <c r="M108" s="20">
        <f t="shared" si="11"/>
        <v>0.47894736842105262</v>
      </c>
      <c r="N108" s="19">
        <v>0.48767099999999997</v>
      </c>
      <c r="O108" s="22">
        <v>100</v>
      </c>
      <c r="P108" s="13">
        <f t="shared" si="12"/>
        <v>0.17218045112781954</v>
      </c>
      <c r="Q108" s="13">
        <f t="shared" si="13"/>
        <v>0.71438473684210524</v>
      </c>
      <c r="R108" s="16">
        <f t="shared" si="14"/>
        <v>26075.042894736842</v>
      </c>
      <c r="S108">
        <f t="shared" si="15"/>
        <v>18252.530026315788</v>
      </c>
    </row>
    <row r="109" spans="1:19" x14ac:dyDescent="0.3">
      <c r="A109" t="s">
        <v>130</v>
      </c>
      <c r="B109" t="s">
        <v>297</v>
      </c>
      <c r="C109" t="s">
        <v>331</v>
      </c>
      <c r="D109">
        <v>2</v>
      </c>
      <c r="E109" s="16">
        <v>2000</v>
      </c>
      <c r="F109" s="14">
        <v>41.0959</v>
      </c>
      <c r="G109" s="15">
        <f t="shared" si="8"/>
        <v>0.41095900000000002</v>
      </c>
      <c r="H109" s="18">
        <f t="shared" si="9"/>
        <v>9863.0159999999996</v>
      </c>
      <c r="I109" s="16">
        <v>107</v>
      </c>
      <c r="J109" s="16">
        <v>781</v>
      </c>
      <c r="K109" s="16">
        <v>579</v>
      </c>
      <c r="L109" s="16">
        <f t="shared" si="10"/>
        <v>674</v>
      </c>
      <c r="M109" s="20">
        <f t="shared" si="11"/>
        <v>0.66023738872403559</v>
      </c>
      <c r="N109" s="19">
        <v>0.41095900000000002</v>
      </c>
      <c r="O109" s="22">
        <v>100</v>
      </c>
      <c r="P109" s="13">
        <f t="shared" si="12"/>
        <v>9.1691394658753714E-2</v>
      </c>
      <c r="Q109" s="13">
        <f t="shared" si="13"/>
        <v>0.7781079228486647</v>
      </c>
      <c r="R109" s="16">
        <f t="shared" si="14"/>
        <v>28400.939183976261</v>
      </c>
      <c r="S109">
        <f t="shared" si="15"/>
        <v>19880.657428783383</v>
      </c>
    </row>
    <row r="110" spans="1:19" x14ac:dyDescent="0.3">
      <c r="A110" t="s">
        <v>131</v>
      </c>
      <c r="B110" t="s">
        <v>297</v>
      </c>
      <c r="C110" t="s">
        <v>332</v>
      </c>
      <c r="D110">
        <v>1</v>
      </c>
      <c r="E110" s="16">
        <v>1700</v>
      </c>
      <c r="F110" s="14">
        <v>50.411000000000001</v>
      </c>
      <c r="G110" s="15">
        <f t="shared" si="8"/>
        <v>0.50411000000000006</v>
      </c>
      <c r="H110" s="18">
        <f t="shared" si="9"/>
        <v>10283.844000000001</v>
      </c>
      <c r="I110" s="16">
        <v>162</v>
      </c>
      <c r="J110" s="16">
        <v>614</v>
      </c>
      <c r="K110" s="16">
        <v>524</v>
      </c>
      <c r="L110" s="16">
        <f t="shared" si="10"/>
        <v>452</v>
      </c>
      <c r="M110" s="20">
        <f t="shared" si="11"/>
        <v>0.74070796460176991</v>
      </c>
      <c r="N110" s="19">
        <v>0.50411000000000006</v>
      </c>
      <c r="O110" s="22">
        <v>100</v>
      </c>
      <c r="P110" s="13">
        <f t="shared" si="12"/>
        <v>-9.7345132743362831E-3</v>
      </c>
      <c r="Q110" s="13">
        <f t="shared" si="13"/>
        <v>0.8584068141592921</v>
      </c>
      <c r="R110" s="16">
        <f t="shared" si="14"/>
        <v>31331.848716814162</v>
      </c>
      <c r="S110">
        <f t="shared" si="15"/>
        <v>21932.294101769912</v>
      </c>
    </row>
    <row r="111" spans="1:19" x14ac:dyDescent="0.3">
      <c r="A111" t="s">
        <v>132</v>
      </c>
      <c r="B111" t="s">
        <v>297</v>
      </c>
      <c r="C111" t="s">
        <v>332</v>
      </c>
      <c r="D111">
        <v>2</v>
      </c>
      <c r="E111" s="16">
        <v>2500</v>
      </c>
      <c r="F111" s="14">
        <v>27.671199999999999</v>
      </c>
      <c r="G111" s="15">
        <f t="shared" si="8"/>
        <v>0.27671200000000001</v>
      </c>
      <c r="H111" s="18">
        <f t="shared" si="9"/>
        <v>8301.36</v>
      </c>
      <c r="I111" s="16">
        <v>158</v>
      </c>
      <c r="J111" s="16">
        <v>906</v>
      </c>
      <c r="K111" s="16">
        <v>560</v>
      </c>
      <c r="L111" s="16">
        <f t="shared" si="10"/>
        <v>748</v>
      </c>
      <c r="M111" s="20">
        <f t="shared" si="11"/>
        <v>0.52994652406417109</v>
      </c>
      <c r="N111" s="19">
        <v>0.27671200000000001</v>
      </c>
      <c r="O111" s="22">
        <v>100</v>
      </c>
      <c r="P111" s="13">
        <f t="shared" si="12"/>
        <v>3.7967914438502677E-2</v>
      </c>
      <c r="Q111" s="13">
        <f t="shared" si="13"/>
        <v>0.82064080213903745</v>
      </c>
      <c r="R111" s="16">
        <f t="shared" si="14"/>
        <v>29953.389278074868</v>
      </c>
      <c r="S111">
        <f t="shared" si="15"/>
        <v>20967.372494652405</v>
      </c>
    </row>
    <row r="112" spans="1:19" x14ac:dyDescent="0.3">
      <c r="A112" t="s">
        <v>133</v>
      </c>
      <c r="B112" t="s">
        <v>298</v>
      </c>
      <c r="C112" t="s">
        <v>331</v>
      </c>
      <c r="D112">
        <v>1</v>
      </c>
      <c r="E112" s="16">
        <v>1800</v>
      </c>
      <c r="F112" s="14">
        <v>32.8767</v>
      </c>
      <c r="G112" s="15">
        <f t="shared" si="8"/>
        <v>0.32876699999999998</v>
      </c>
      <c r="H112" s="18">
        <f t="shared" si="9"/>
        <v>7101.3671999999997</v>
      </c>
      <c r="I112" s="16">
        <v>199</v>
      </c>
      <c r="J112" s="16">
        <v>432</v>
      </c>
      <c r="K112" s="16">
        <v>362</v>
      </c>
      <c r="L112" s="16">
        <f t="shared" si="10"/>
        <v>233</v>
      </c>
      <c r="M112" s="20">
        <f t="shared" si="11"/>
        <v>0.65965665236051507</v>
      </c>
      <c r="N112" s="19">
        <v>0.32876699999999998</v>
      </c>
      <c r="O112" s="22">
        <v>100</v>
      </c>
      <c r="P112" s="13">
        <f t="shared" si="12"/>
        <v>-0.23991416309012875</v>
      </c>
      <c r="Q112" s="13">
        <f t="shared" si="13"/>
        <v>1.040640042918455</v>
      </c>
      <c r="R112" s="16">
        <f t="shared" si="14"/>
        <v>37983.361566523607</v>
      </c>
      <c r="S112">
        <f t="shared" si="15"/>
        <v>26588.353096566523</v>
      </c>
    </row>
    <row r="113" spans="1:19" x14ac:dyDescent="0.3">
      <c r="A113" t="s">
        <v>134</v>
      </c>
      <c r="B113" t="s">
        <v>298</v>
      </c>
      <c r="C113" t="s">
        <v>331</v>
      </c>
      <c r="D113">
        <v>2</v>
      </c>
      <c r="E113" s="16">
        <v>2600</v>
      </c>
      <c r="F113" s="14">
        <v>53.150700000000001</v>
      </c>
      <c r="G113" s="15">
        <f t="shared" si="8"/>
        <v>0.53150699999999995</v>
      </c>
      <c r="H113" s="18">
        <f t="shared" si="9"/>
        <v>16583.018399999997</v>
      </c>
      <c r="I113" s="16">
        <v>366</v>
      </c>
      <c r="J113" s="16">
        <v>594</v>
      </c>
      <c r="K113" s="16">
        <v>417</v>
      </c>
      <c r="L113" s="16">
        <f t="shared" si="10"/>
        <v>228</v>
      </c>
      <c r="M113" s="20">
        <f t="shared" si="11"/>
        <v>0.27894736842105261</v>
      </c>
      <c r="N113" s="19">
        <v>0.53150699999999995</v>
      </c>
      <c r="O113" s="22">
        <v>100</v>
      </c>
      <c r="P113" s="13">
        <f t="shared" si="12"/>
        <v>-0.83333333333333337</v>
      </c>
      <c r="Q113" s="13">
        <f t="shared" si="13"/>
        <v>1.5104500000000001</v>
      </c>
      <c r="R113" s="16">
        <f t="shared" si="14"/>
        <v>55131.425000000003</v>
      </c>
      <c r="S113">
        <f t="shared" si="15"/>
        <v>38591.997499999998</v>
      </c>
    </row>
    <row r="114" spans="1:19" x14ac:dyDescent="0.3">
      <c r="A114" t="s">
        <v>135</v>
      </c>
      <c r="B114" t="s">
        <v>298</v>
      </c>
      <c r="C114" t="s">
        <v>332</v>
      </c>
      <c r="D114">
        <v>1</v>
      </c>
      <c r="E114" s="16">
        <v>2500</v>
      </c>
      <c r="F114" s="14">
        <v>42.739699999999999</v>
      </c>
      <c r="G114" s="15">
        <f t="shared" si="8"/>
        <v>0.42739699999999997</v>
      </c>
      <c r="H114" s="18">
        <f t="shared" si="9"/>
        <v>12821.91</v>
      </c>
      <c r="I114" s="16">
        <v>333</v>
      </c>
      <c r="J114" s="16">
        <v>665</v>
      </c>
      <c r="K114" s="16">
        <v>474</v>
      </c>
      <c r="L114" s="16">
        <f t="shared" si="10"/>
        <v>332</v>
      </c>
      <c r="M114" s="20">
        <f t="shared" si="11"/>
        <v>0.43975903614457829</v>
      </c>
      <c r="N114" s="19">
        <v>0.42739699999999997</v>
      </c>
      <c r="O114" s="22">
        <v>100</v>
      </c>
      <c r="P114" s="13">
        <f t="shared" si="12"/>
        <v>-0.4614457831325301</v>
      </c>
      <c r="Q114" s="13">
        <f t="shared" si="13"/>
        <v>1.216026626506024</v>
      </c>
      <c r="R114" s="16">
        <f t="shared" si="14"/>
        <v>44384.971867469874</v>
      </c>
      <c r="S114">
        <f t="shared" si="15"/>
        <v>31069.480307228911</v>
      </c>
    </row>
    <row r="115" spans="1:19" x14ac:dyDescent="0.3">
      <c r="A115" t="s">
        <v>136</v>
      </c>
      <c r="B115" t="s">
        <v>269</v>
      </c>
      <c r="C115" t="s">
        <v>332</v>
      </c>
      <c r="D115">
        <v>1</v>
      </c>
      <c r="E115" s="16">
        <v>1500</v>
      </c>
      <c r="F115" s="14">
        <v>24.1096</v>
      </c>
      <c r="G115" s="15">
        <f t="shared" si="8"/>
        <v>0.241096</v>
      </c>
      <c r="H115" s="18">
        <f t="shared" si="9"/>
        <v>4339.7280000000001</v>
      </c>
      <c r="I115" s="16">
        <v>81</v>
      </c>
      <c r="J115" s="16">
        <v>205</v>
      </c>
      <c r="K115" s="16">
        <v>146</v>
      </c>
      <c r="L115" s="16">
        <f t="shared" si="10"/>
        <v>124</v>
      </c>
      <c r="M115" s="20">
        <f t="shared" si="11"/>
        <v>0.51935483870967747</v>
      </c>
      <c r="N115" s="19">
        <v>0.241096</v>
      </c>
      <c r="O115" s="22">
        <v>100</v>
      </c>
      <c r="P115" s="13">
        <f t="shared" si="12"/>
        <v>0.22258064516129034</v>
      </c>
      <c r="Q115" s="13">
        <f t="shared" si="13"/>
        <v>0.6744829032258064</v>
      </c>
      <c r="R115" s="16">
        <f t="shared" si="14"/>
        <v>24618.625967741933</v>
      </c>
      <c r="S115">
        <f t="shared" si="15"/>
        <v>17233.038177419352</v>
      </c>
    </row>
    <row r="116" spans="1:19" x14ac:dyDescent="0.3">
      <c r="A116" t="s">
        <v>137</v>
      </c>
      <c r="B116" t="s">
        <v>291</v>
      </c>
      <c r="C116" t="s">
        <v>331</v>
      </c>
      <c r="D116">
        <v>1</v>
      </c>
      <c r="E116" s="16">
        <v>1700</v>
      </c>
      <c r="F116" s="14">
        <v>41.0959</v>
      </c>
      <c r="G116" s="15">
        <f t="shared" si="8"/>
        <v>0.41095900000000002</v>
      </c>
      <c r="H116" s="18">
        <f t="shared" si="9"/>
        <v>8383.5635999999995</v>
      </c>
      <c r="I116" s="16">
        <v>106</v>
      </c>
      <c r="J116" s="16">
        <v>465</v>
      </c>
      <c r="K116" s="16">
        <v>312</v>
      </c>
      <c r="L116" s="16">
        <f t="shared" si="10"/>
        <v>359</v>
      </c>
      <c r="M116" s="20">
        <f t="shared" si="11"/>
        <v>0.55905292479108637</v>
      </c>
      <c r="N116" s="19">
        <v>0.41095900000000002</v>
      </c>
      <c r="O116" s="22">
        <v>100</v>
      </c>
      <c r="P116" s="13">
        <f t="shared" si="12"/>
        <v>8.6629526462395537E-2</v>
      </c>
      <c r="Q116" s="13">
        <f t="shared" si="13"/>
        <v>0.78211540389972145</v>
      </c>
      <c r="R116" s="16">
        <f t="shared" si="14"/>
        <v>28547.212242339832</v>
      </c>
      <c r="S116">
        <f t="shared" si="15"/>
        <v>19983.048569637882</v>
      </c>
    </row>
    <row r="117" spans="1:19" x14ac:dyDescent="0.3">
      <c r="A117" t="s">
        <v>138</v>
      </c>
      <c r="B117" t="s">
        <v>298</v>
      </c>
      <c r="C117" t="s">
        <v>332</v>
      </c>
      <c r="D117">
        <v>2</v>
      </c>
      <c r="E117" s="16">
        <v>3600</v>
      </c>
      <c r="F117" s="14">
        <v>39.725999999999999</v>
      </c>
      <c r="G117" s="15">
        <f t="shared" si="8"/>
        <v>0.39726</v>
      </c>
      <c r="H117" s="18">
        <f t="shared" si="9"/>
        <v>17161.632000000001</v>
      </c>
      <c r="I117" s="16">
        <v>336</v>
      </c>
      <c r="J117" s="16">
        <v>624</v>
      </c>
      <c r="K117" s="16">
        <v>491</v>
      </c>
      <c r="L117" s="16">
        <f t="shared" si="10"/>
        <v>288</v>
      </c>
      <c r="M117" s="20">
        <f t="shared" si="11"/>
        <v>0.53055555555555556</v>
      </c>
      <c r="N117" s="19">
        <v>0.39726</v>
      </c>
      <c r="O117" s="22">
        <v>100</v>
      </c>
      <c r="P117" s="13">
        <f t="shared" si="12"/>
        <v>-0.55555555555555558</v>
      </c>
      <c r="Q117" s="13">
        <f t="shared" si="13"/>
        <v>1.2905333333333333</v>
      </c>
      <c r="R117" s="16">
        <f t="shared" si="14"/>
        <v>47104.466666666667</v>
      </c>
      <c r="S117">
        <f t="shared" si="15"/>
        <v>32973.126666666663</v>
      </c>
    </row>
    <row r="118" spans="1:19" x14ac:dyDescent="0.3">
      <c r="A118" t="s">
        <v>139</v>
      </c>
      <c r="B118" t="s">
        <v>299</v>
      </c>
      <c r="C118" t="s">
        <v>331</v>
      </c>
      <c r="D118">
        <v>1</v>
      </c>
      <c r="E118" s="16">
        <v>1200</v>
      </c>
      <c r="F118" s="14">
        <v>79.725999999999999</v>
      </c>
      <c r="G118" s="15">
        <f t="shared" si="8"/>
        <v>0.79725999999999997</v>
      </c>
      <c r="H118" s="18">
        <f t="shared" si="9"/>
        <v>11480.544</v>
      </c>
      <c r="I118" s="16">
        <v>173</v>
      </c>
      <c r="J118" s="16">
        <v>395</v>
      </c>
      <c r="K118" s="16">
        <v>204</v>
      </c>
      <c r="L118" s="16">
        <f t="shared" si="10"/>
        <v>222</v>
      </c>
      <c r="M118" s="20">
        <f t="shared" si="11"/>
        <v>0.21171171171171171</v>
      </c>
      <c r="N118" s="19">
        <v>0.79725999999999997</v>
      </c>
      <c r="O118" s="22">
        <v>100</v>
      </c>
      <c r="P118" s="13">
        <f t="shared" si="12"/>
        <v>-0.16306306306306306</v>
      </c>
      <c r="Q118" s="13">
        <f t="shared" si="13"/>
        <v>0.97979702702702709</v>
      </c>
      <c r="R118" s="16">
        <f t="shared" si="14"/>
        <v>35762.59148648649</v>
      </c>
      <c r="S118">
        <f t="shared" si="15"/>
        <v>25033.814040540543</v>
      </c>
    </row>
    <row r="119" spans="1:19" x14ac:dyDescent="0.3">
      <c r="A119" t="s">
        <v>140</v>
      </c>
      <c r="B119" t="s">
        <v>299</v>
      </c>
      <c r="C119" t="s">
        <v>331</v>
      </c>
      <c r="D119">
        <v>2</v>
      </c>
      <c r="E119" s="16">
        <v>1600</v>
      </c>
      <c r="F119" s="14">
        <v>68.767099999999999</v>
      </c>
      <c r="G119" s="15">
        <f t="shared" si="8"/>
        <v>0.68767100000000003</v>
      </c>
      <c r="H119" s="18">
        <f t="shared" si="9"/>
        <v>13203.2832</v>
      </c>
      <c r="I119" s="16">
        <v>228</v>
      </c>
      <c r="J119" s="16">
        <v>456</v>
      </c>
      <c r="K119" s="16">
        <v>245</v>
      </c>
      <c r="L119" s="16">
        <f t="shared" si="10"/>
        <v>228</v>
      </c>
      <c r="M119" s="20">
        <f t="shared" si="11"/>
        <v>0.15964912280701754</v>
      </c>
      <c r="N119" s="19">
        <v>0.68767100000000003</v>
      </c>
      <c r="O119" s="22">
        <v>100</v>
      </c>
      <c r="P119" s="13">
        <f t="shared" si="12"/>
        <v>-0.34912280701754383</v>
      </c>
      <c r="Q119" s="13">
        <f t="shared" si="13"/>
        <v>1.1271005263157894</v>
      </c>
      <c r="R119" s="16">
        <f t="shared" si="14"/>
        <v>41139.169210526314</v>
      </c>
      <c r="S119">
        <f t="shared" si="15"/>
        <v>28797.418447368418</v>
      </c>
    </row>
    <row r="120" spans="1:19" x14ac:dyDescent="0.3">
      <c r="A120" t="s">
        <v>141</v>
      </c>
      <c r="B120" t="s">
        <v>299</v>
      </c>
      <c r="C120" t="s">
        <v>332</v>
      </c>
      <c r="D120">
        <v>1</v>
      </c>
      <c r="E120" s="16">
        <v>1000</v>
      </c>
      <c r="F120" s="14">
        <v>58.9041</v>
      </c>
      <c r="G120" s="15">
        <f t="shared" si="8"/>
        <v>0.58904100000000004</v>
      </c>
      <c r="H120" s="18">
        <f t="shared" si="9"/>
        <v>7068.4920000000002</v>
      </c>
      <c r="I120" s="16">
        <v>155</v>
      </c>
      <c r="J120" s="16">
        <v>252</v>
      </c>
      <c r="K120" s="16">
        <v>197</v>
      </c>
      <c r="L120" s="16">
        <f t="shared" si="10"/>
        <v>97</v>
      </c>
      <c r="M120" s="20">
        <f t="shared" si="11"/>
        <v>0.44639175257731961</v>
      </c>
      <c r="N120" s="19">
        <v>0.58904100000000004</v>
      </c>
      <c r="O120" s="22">
        <v>100</v>
      </c>
      <c r="P120" s="13">
        <f t="shared" si="12"/>
        <v>-0.35360824742268043</v>
      </c>
      <c r="Q120" s="13">
        <f t="shared" si="13"/>
        <v>1.1306516494845362</v>
      </c>
      <c r="R120" s="16">
        <f t="shared" si="14"/>
        <v>41268.785206185574</v>
      </c>
      <c r="S120">
        <f t="shared" si="15"/>
        <v>28888.1496443299</v>
      </c>
    </row>
    <row r="121" spans="1:19" x14ac:dyDescent="0.3">
      <c r="A121" t="s">
        <v>142</v>
      </c>
      <c r="B121" t="s">
        <v>299</v>
      </c>
      <c r="C121" t="s">
        <v>332</v>
      </c>
      <c r="D121">
        <v>2</v>
      </c>
      <c r="E121" s="16">
        <v>1500</v>
      </c>
      <c r="F121" s="14">
        <v>61.9178</v>
      </c>
      <c r="G121" s="15">
        <f t="shared" si="8"/>
        <v>0.61917800000000001</v>
      </c>
      <c r="H121" s="18">
        <f t="shared" si="9"/>
        <v>11145.204</v>
      </c>
      <c r="I121" s="16">
        <v>158</v>
      </c>
      <c r="J121" s="16">
        <v>236</v>
      </c>
      <c r="K121" s="16">
        <v>195</v>
      </c>
      <c r="L121" s="16">
        <f t="shared" si="10"/>
        <v>78</v>
      </c>
      <c r="M121" s="20">
        <f t="shared" si="11"/>
        <v>0.4794871794871795</v>
      </c>
      <c r="N121" s="19">
        <v>0.61917800000000001</v>
      </c>
      <c r="O121" s="22">
        <v>100</v>
      </c>
      <c r="P121" s="13">
        <f t="shared" si="12"/>
        <v>-0.49487179487179489</v>
      </c>
      <c r="Q121" s="13">
        <f t="shared" si="13"/>
        <v>1.2424900000000001</v>
      </c>
      <c r="R121" s="16">
        <f t="shared" si="14"/>
        <v>45350.885000000002</v>
      </c>
      <c r="S121">
        <f t="shared" si="15"/>
        <v>31745.619500000001</v>
      </c>
    </row>
    <row r="122" spans="1:19" x14ac:dyDescent="0.3">
      <c r="A122" t="s">
        <v>143</v>
      </c>
      <c r="B122" t="s">
        <v>300</v>
      </c>
      <c r="C122" t="s">
        <v>331</v>
      </c>
      <c r="D122">
        <v>1</v>
      </c>
      <c r="E122" s="16">
        <v>750</v>
      </c>
      <c r="F122" s="14">
        <v>45.479500000000002</v>
      </c>
      <c r="G122" s="15">
        <f t="shared" si="8"/>
        <v>0.454795</v>
      </c>
      <c r="H122" s="18">
        <f t="shared" si="9"/>
        <v>4093.1550000000002</v>
      </c>
      <c r="I122" s="16">
        <v>89</v>
      </c>
      <c r="J122" s="16">
        <v>155</v>
      </c>
      <c r="K122" s="16">
        <v>124</v>
      </c>
      <c r="L122" s="16">
        <f t="shared" si="10"/>
        <v>66</v>
      </c>
      <c r="M122" s="20">
        <f t="shared" si="11"/>
        <v>0.52424242424242429</v>
      </c>
      <c r="N122" s="19">
        <v>0.454795</v>
      </c>
      <c r="O122" s="22">
        <v>100</v>
      </c>
      <c r="P122" s="13">
        <f t="shared" si="12"/>
        <v>0.23333333333333334</v>
      </c>
      <c r="Q122" s="13">
        <f t="shared" si="13"/>
        <v>0.66596999999999995</v>
      </c>
      <c r="R122" s="16">
        <f t="shared" si="14"/>
        <v>24307.904999999999</v>
      </c>
      <c r="S122">
        <f t="shared" si="15"/>
        <v>17015.533499999998</v>
      </c>
    </row>
    <row r="123" spans="1:19" x14ac:dyDescent="0.3">
      <c r="A123" t="s">
        <v>144</v>
      </c>
      <c r="B123" t="s">
        <v>300</v>
      </c>
      <c r="C123" t="s">
        <v>331</v>
      </c>
      <c r="D123">
        <v>2</v>
      </c>
      <c r="E123" s="16">
        <v>1040</v>
      </c>
      <c r="F123" s="14">
        <v>48.767099999999999</v>
      </c>
      <c r="G123" s="15">
        <f t="shared" si="8"/>
        <v>0.48767099999999997</v>
      </c>
      <c r="H123" s="18">
        <f t="shared" si="9"/>
        <v>6086.1340799999998</v>
      </c>
      <c r="I123" s="16">
        <v>115</v>
      </c>
      <c r="J123" s="16">
        <v>179</v>
      </c>
      <c r="K123" s="16">
        <v>156</v>
      </c>
      <c r="L123" s="16">
        <f t="shared" si="10"/>
        <v>64</v>
      </c>
      <c r="M123" s="20">
        <f t="shared" si="11"/>
        <v>0.61250000000000004</v>
      </c>
      <c r="N123" s="19">
        <v>0.48767099999999997</v>
      </c>
      <c r="O123" s="22">
        <v>100</v>
      </c>
      <c r="P123" s="13">
        <f t="shared" si="12"/>
        <v>-8.7499999999999994E-2</v>
      </c>
      <c r="Q123" s="13">
        <f t="shared" si="13"/>
        <v>0.91997375000000003</v>
      </c>
      <c r="R123" s="16">
        <f t="shared" si="14"/>
        <v>33579.041875000003</v>
      </c>
      <c r="S123">
        <f t="shared" si="15"/>
        <v>23505.329312500002</v>
      </c>
    </row>
    <row r="124" spans="1:19" x14ac:dyDescent="0.3">
      <c r="A124" t="s">
        <v>145</v>
      </c>
      <c r="B124" t="s">
        <v>300</v>
      </c>
      <c r="C124" t="s">
        <v>332</v>
      </c>
      <c r="D124">
        <v>1</v>
      </c>
      <c r="E124" s="16">
        <v>900</v>
      </c>
      <c r="F124" s="14">
        <v>47.9452</v>
      </c>
      <c r="G124" s="15">
        <f t="shared" si="8"/>
        <v>0.47945199999999999</v>
      </c>
      <c r="H124" s="18">
        <f t="shared" si="9"/>
        <v>5178.0815999999995</v>
      </c>
      <c r="I124" s="16">
        <v>152</v>
      </c>
      <c r="J124" s="16">
        <v>300</v>
      </c>
      <c r="K124" s="16">
        <v>256</v>
      </c>
      <c r="L124" s="16">
        <f t="shared" si="10"/>
        <v>148</v>
      </c>
      <c r="M124" s="20">
        <f t="shared" si="11"/>
        <v>0.66216216216216217</v>
      </c>
      <c r="N124" s="19">
        <v>0.47945199999999999</v>
      </c>
      <c r="O124" s="22">
        <v>100</v>
      </c>
      <c r="P124" s="13">
        <f t="shared" si="12"/>
        <v>-0.18108108108108109</v>
      </c>
      <c r="Q124" s="13">
        <f t="shared" si="13"/>
        <v>0.99406189189189187</v>
      </c>
      <c r="R124" s="16">
        <f t="shared" si="14"/>
        <v>36283.259054054055</v>
      </c>
      <c r="S124">
        <f t="shared" si="15"/>
        <v>25398.281337837838</v>
      </c>
    </row>
    <row r="125" spans="1:19" x14ac:dyDescent="0.3">
      <c r="A125" t="s">
        <v>146</v>
      </c>
      <c r="B125" t="s">
        <v>300</v>
      </c>
      <c r="C125" t="s">
        <v>332</v>
      </c>
      <c r="D125">
        <v>2</v>
      </c>
      <c r="E125" s="16">
        <v>1400</v>
      </c>
      <c r="F125" s="14">
        <v>49.315100000000001</v>
      </c>
      <c r="G125" s="15">
        <f t="shared" si="8"/>
        <v>0.49315100000000001</v>
      </c>
      <c r="H125" s="18">
        <f t="shared" si="9"/>
        <v>8284.9367999999995</v>
      </c>
      <c r="I125" s="16">
        <v>175</v>
      </c>
      <c r="J125" s="16">
        <v>368</v>
      </c>
      <c r="K125" s="16">
        <v>284</v>
      </c>
      <c r="L125" s="16">
        <f t="shared" si="10"/>
        <v>193</v>
      </c>
      <c r="M125" s="20">
        <f t="shared" si="11"/>
        <v>0.55181347150259064</v>
      </c>
      <c r="N125" s="19">
        <v>0.49315100000000001</v>
      </c>
      <c r="O125" s="22">
        <v>100</v>
      </c>
      <c r="P125" s="13">
        <f t="shared" si="12"/>
        <v>-0.21088082901554403</v>
      </c>
      <c r="Q125" s="13">
        <f t="shared" si="13"/>
        <v>1.0176543523316062</v>
      </c>
      <c r="R125" s="16">
        <f t="shared" si="14"/>
        <v>37144.383860103626</v>
      </c>
      <c r="S125">
        <f t="shared" si="15"/>
        <v>26001.068702072538</v>
      </c>
    </row>
    <row r="126" spans="1:19" x14ac:dyDescent="0.3">
      <c r="A126" t="s">
        <v>147</v>
      </c>
      <c r="B126" t="s">
        <v>301</v>
      </c>
      <c r="C126" t="s">
        <v>331</v>
      </c>
      <c r="D126">
        <v>1</v>
      </c>
      <c r="E126" s="16">
        <v>825</v>
      </c>
      <c r="F126" s="14">
        <v>36.164400000000001</v>
      </c>
      <c r="G126" s="15">
        <f t="shared" si="8"/>
        <v>0.36164400000000002</v>
      </c>
      <c r="H126" s="18">
        <f t="shared" si="9"/>
        <v>3580.2756000000004</v>
      </c>
      <c r="I126" s="16">
        <v>77</v>
      </c>
      <c r="J126" s="16">
        <v>161</v>
      </c>
      <c r="K126" s="16">
        <v>128</v>
      </c>
      <c r="L126" s="16">
        <f t="shared" si="10"/>
        <v>84</v>
      </c>
      <c r="M126" s="20">
        <f t="shared" si="11"/>
        <v>0.58571428571428574</v>
      </c>
      <c r="N126" s="19">
        <v>0.36164400000000002</v>
      </c>
      <c r="O126" s="22">
        <v>100</v>
      </c>
      <c r="P126" s="13">
        <f t="shared" si="12"/>
        <v>0.31904761904761902</v>
      </c>
      <c r="Q126" s="13">
        <f t="shared" si="13"/>
        <v>0.59811000000000003</v>
      </c>
      <c r="R126" s="16">
        <f t="shared" si="14"/>
        <v>21831.014999999999</v>
      </c>
      <c r="S126">
        <f t="shared" si="15"/>
        <v>15281.710499999999</v>
      </c>
    </row>
    <row r="127" spans="1:19" x14ac:dyDescent="0.3">
      <c r="A127" t="s">
        <v>148</v>
      </c>
      <c r="B127" t="s">
        <v>302</v>
      </c>
      <c r="C127" t="s">
        <v>331</v>
      </c>
      <c r="D127">
        <v>2</v>
      </c>
      <c r="E127" s="16">
        <v>2700</v>
      </c>
      <c r="F127" s="14">
        <v>42.191800000000001</v>
      </c>
      <c r="G127" s="15">
        <f t="shared" si="8"/>
        <v>0.42191800000000002</v>
      </c>
      <c r="H127" s="18">
        <f t="shared" si="9"/>
        <v>13670.1432</v>
      </c>
      <c r="I127" s="16">
        <v>157</v>
      </c>
      <c r="J127" s="16">
        <v>526</v>
      </c>
      <c r="K127" s="16">
        <v>337</v>
      </c>
      <c r="L127" s="16">
        <f t="shared" si="10"/>
        <v>369</v>
      </c>
      <c r="M127" s="20">
        <f t="shared" si="11"/>
        <v>0.49024390243902438</v>
      </c>
      <c r="N127" s="19">
        <v>0.42191800000000002</v>
      </c>
      <c r="O127" s="22">
        <v>100</v>
      </c>
      <c r="P127" s="13">
        <f t="shared" si="12"/>
        <v>-2.3577235772357725E-2</v>
      </c>
      <c r="Q127" s="13">
        <f t="shared" si="13"/>
        <v>0.8693660975609756</v>
      </c>
      <c r="R127" s="16">
        <f t="shared" si="14"/>
        <v>31731.862560975609</v>
      </c>
      <c r="S127">
        <f t="shared" si="15"/>
        <v>22212.303792682924</v>
      </c>
    </row>
    <row r="128" spans="1:19" x14ac:dyDescent="0.3">
      <c r="A128" t="s">
        <v>149</v>
      </c>
      <c r="B128" t="s">
        <v>301</v>
      </c>
      <c r="C128" t="s">
        <v>331</v>
      </c>
      <c r="D128">
        <v>2</v>
      </c>
      <c r="E128" s="16">
        <v>1300</v>
      </c>
      <c r="F128" s="14">
        <v>74.246600000000001</v>
      </c>
      <c r="G128" s="15">
        <f t="shared" si="8"/>
        <v>0.74246599999999996</v>
      </c>
      <c r="H128" s="18">
        <f t="shared" si="9"/>
        <v>11582.469599999999</v>
      </c>
      <c r="I128" s="16">
        <v>125</v>
      </c>
      <c r="J128" s="16">
        <v>170</v>
      </c>
      <c r="K128" s="16">
        <v>139</v>
      </c>
      <c r="L128" s="16">
        <f t="shared" si="10"/>
        <v>45</v>
      </c>
      <c r="M128" s="20">
        <f t="shared" si="11"/>
        <v>0.34888888888888892</v>
      </c>
      <c r="N128" s="19">
        <v>0.74246599999999996</v>
      </c>
      <c r="O128" s="22">
        <v>100</v>
      </c>
      <c r="P128" s="13">
        <f t="shared" si="12"/>
        <v>-0.34444444444444444</v>
      </c>
      <c r="Q128" s="13">
        <f t="shared" si="13"/>
        <v>1.1233966666666666</v>
      </c>
      <c r="R128" s="16">
        <f t="shared" si="14"/>
        <v>41003.978333333333</v>
      </c>
      <c r="S128">
        <f t="shared" si="15"/>
        <v>28702.784833333331</v>
      </c>
    </row>
    <row r="129" spans="1:19" x14ac:dyDescent="0.3">
      <c r="A129" t="s">
        <v>150</v>
      </c>
      <c r="B129" t="s">
        <v>301</v>
      </c>
      <c r="C129" t="s">
        <v>332</v>
      </c>
      <c r="D129">
        <v>1</v>
      </c>
      <c r="E129" s="16">
        <v>1000</v>
      </c>
      <c r="F129" s="14">
        <v>36.9863</v>
      </c>
      <c r="G129" s="15">
        <f t="shared" si="8"/>
        <v>0.369863</v>
      </c>
      <c r="H129" s="18">
        <f t="shared" si="9"/>
        <v>4438.3559999999998</v>
      </c>
      <c r="I129" s="16">
        <v>140</v>
      </c>
      <c r="J129" s="16">
        <v>288</v>
      </c>
      <c r="K129" s="16">
        <v>240</v>
      </c>
      <c r="L129" s="16">
        <f t="shared" si="10"/>
        <v>148</v>
      </c>
      <c r="M129" s="20">
        <f t="shared" si="11"/>
        <v>0.64054054054054055</v>
      </c>
      <c r="N129" s="19">
        <v>0.369863</v>
      </c>
      <c r="O129" s="22">
        <v>100</v>
      </c>
      <c r="P129" s="13">
        <f t="shared" si="12"/>
        <v>-0.11621621621621622</v>
      </c>
      <c r="Q129" s="13">
        <f t="shared" si="13"/>
        <v>0.9427083783783784</v>
      </c>
      <c r="R129" s="16">
        <f t="shared" si="14"/>
        <v>34408.855810810812</v>
      </c>
      <c r="S129">
        <f t="shared" si="15"/>
        <v>24086.199067567566</v>
      </c>
    </row>
    <row r="130" spans="1:19" x14ac:dyDescent="0.3">
      <c r="A130" t="s">
        <v>151</v>
      </c>
      <c r="B130" t="s">
        <v>301</v>
      </c>
      <c r="C130" t="s">
        <v>332</v>
      </c>
      <c r="D130">
        <v>2</v>
      </c>
      <c r="E130" s="16">
        <v>1480</v>
      </c>
      <c r="F130" s="14">
        <v>44.1096</v>
      </c>
      <c r="G130" s="15">
        <f t="shared" si="8"/>
        <v>0.44109599999999999</v>
      </c>
      <c r="H130" s="18">
        <f t="shared" si="9"/>
        <v>7833.8649599999999</v>
      </c>
      <c r="I130" s="16">
        <v>175</v>
      </c>
      <c r="J130" s="16">
        <v>310</v>
      </c>
      <c r="K130" s="16">
        <v>249</v>
      </c>
      <c r="L130" s="16">
        <f t="shared" si="10"/>
        <v>135</v>
      </c>
      <c r="M130" s="20">
        <f t="shared" si="11"/>
        <v>0.53851851851851851</v>
      </c>
      <c r="N130" s="19">
        <v>0.44109599999999999</v>
      </c>
      <c r="O130" s="22">
        <v>100</v>
      </c>
      <c r="P130" s="13">
        <f t="shared" si="12"/>
        <v>-0.34444444444444444</v>
      </c>
      <c r="Q130" s="13">
        <f t="shared" si="13"/>
        <v>1.1233966666666666</v>
      </c>
      <c r="R130" s="16">
        <f t="shared" si="14"/>
        <v>41003.978333333333</v>
      </c>
      <c r="S130">
        <f t="shared" si="15"/>
        <v>28702.784833333331</v>
      </c>
    </row>
    <row r="131" spans="1:19" x14ac:dyDescent="0.3">
      <c r="A131" t="s">
        <v>152</v>
      </c>
      <c r="B131" t="s">
        <v>303</v>
      </c>
      <c r="C131" t="s">
        <v>331</v>
      </c>
      <c r="D131">
        <v>1</v>
      </c>
      <c r="E131" s="16">
        <v>650</v>
      </c>
      <c r="F131" s="14">
        <v>47.9452</v>
      </c>
      <c r="G131" s="15">
        <f t="shared" si="8"/>
        <v>0.47945199999999999</v>
      </c>
      <c r="H131" s="18">
        <f t="shared" si="9"/>
        <v>3739.7255999999998</v>
      </c>
      <c r="I131" s="16">
        <v>80</v>
      </c>
      <c r="J131" s="16">
        <v>156</v>
      </c>
      <c r="K131" s="16">
        <v>107</v>
      </c>
      <c r="L131" s="16">
        <f t="shared" si="10"/>
        <v>76</v>
      </c>
      <c r="M131" s="20">
        <f t="shared" si="11"/>
        <v>0.38421052631578945</v>
      </c>
      <c r="N131" s="19">
        <v>0.47945199999999999</v>
      </c>
      <c r="O131" s="22">
        <v>100</v>
      </c>
      <c r="P131" s="13">
        <f t="shared" si="12"/>
        <v>0.31052631578947371</v>
      </c>
      <c r="Q131" s="13">
        <f t="shared" si="13"/>
        <v>0.60485631578947374</v>
      </c>
      <c r="R131" s="16">
        <f t="shared" si="14"/>
        <v>22077.255526315792</v>
      </c>
      <c r="S131">
        <f t="shared" si="15"/>
        <v>15454.078868421053</v>
      </c>
    </row>
    <row r="132" spans="1:19" x14ac:dyDescent="0.3">
      <c r="A132" t="s">
        <v>153</v>
      </c>
      <c r="B132" t="s">
        <v>303</v>
      </c>
      <c r="C132" t="s">
        <v>331</v>
      </c>
      <c r="D132">
        <v>2</v>
      </c>
      <c r="E132" s="16">
        <v>920</v>
      </c>
      <c r="F132" s="14">
        <v>41.369900000000001</v>
      </c>
      <c r="G132" s="15">
        <f t="shared" si="8"/>
        <v>0.41369900000000004</v>
      </c>
      <c r="H132" s="18">
        <f t="shared" si="9"/>
        <v>4567.2369600000002</v>
      </c>
      <c r="I132" s="16">
        <v>108</v>
      </c>
      <c r="J132" s="16">
        <v>205</v>
      </c>
      <c r="K132" s="16">
        <v>147</v>
      </c>
      <c r="L132" s="16">
        <f t="shared" si="10"/>
        <v>97</v>
      </c>
      <c r="M132" s="20">
        <f t="shared" si="11"/>
        <v>0.42164948453608248</v>
      </c>
      <c r="N132" s="19">
        <v>0.41369900000000004</v>
      </c>
      <c r="O132" s="22">
        <v>100</v>
      </c>
      <c r="P132" s="13">
        <f t="shared" si="12"/>
        <v>3.4020618556701028E-2</v>
      </c>
      <c r="Q132" s="13">
        <f t="shared" si="13"/>
        <v>0.82376587628865983</v>
      </c>
      <c r="R132" s="16">
        <f t="shared" si="14"/>
        <v>30067.454484536083</v>
      </c>
      <c r="S132">
        <f t="shared" si="15"/>
        <v>21047.218139175257</v>
      </c>
    </row>
    <row r="133" spans="1:19" x14ac:dyDescent="0.3">
      <c r="A133" t="s">
        <v>154</v>
      </c>
      <c r="B133" t="s">
        <v>303</v>
      </c>
      <c r="C133" t="s">
        <v>332</v>
      </c>
      <c r="D133">
        <v>1</v>
      </c>
      <c r="E133" s="16">
        <v>880</v>
      </c>
      <c r="F133" s="14">
        <v>44.383600000000001</v>
      </c>
      <c r="G133" s="15">
        <f t="shared" ref="G133:G196" si="16">F133/100</f>
        <v>0.44383600000000001</v>
      </c>
      <c r="H133" s="18">
        <f t="shared" ref="H133:H196" si="17">E133*12*G133</f>
        <v>4686.90816</v>
      </c>
      <c r="I133" s="16">
        <v>145</v>
      </c>
      <c r="J133" s="16">
        <v>333</v>
      </c>
      <c r="K133" s="16">
        <v>246</v>
      </c>
      <c r="L133" s="16">
        <f t="shared" ref="L133:L196" si="18">J133-I133</f>
        <v>188</v>
      </c>
      <c r="M133" s="20">
        <f t="shared" ref="M133:M196" si="19">(K133-(I133-1/8*L133))/(1.25*L133)</f>
        <v>0.52978723404255323</v>
      </c>
      <c r="N133" s="19">
        <v>0.44383600000000001</v>
      </c>
      <c r="O133" s="22">
        <v>100</v>
      </c>
      <c r="P133" s="13">
        <f t="shared" ref="P133:P196" si="20">(O133-(I133-1/8*L133))/(1.25*L133)</f>
        <v>-9.1489361702127653E-2</v>
      </c>
      <c r="Q133" s="13">
        <f t="shared" ref="Q133:Q196" si="21">P133*$Q$1+$Q$2</f>
        <v>0.92313212765957453</v>
      </c>
      <c r="R133" s="16">
        <f t="shared" ref="R133:R196" si="22">365*O133*Q133</f>
        <v>33694.322659574471</v>
      </c>
      <c r="S133">
        <f t="shared" ref="S133:S196" si="23">R133*(1-$S$1)</f>
        <v>23586.025861702128</v>
      </c>
    </row>
    <row r="134" spans="1:19" x14ac:dyDescent="0.3">
      <c r="A134" t="s">
        <v>155</v>
      </c>
      <c r="B134" t="s">
        <v>303</v>
      </c>
      <c r="C134" t="s">
        <v>332</v>
      </c>
      <c r="D134">
        <v>2</v>
      </c>
      <c r="E134" s="16">
        <v>1200</v>
      </c>
      <c r="F134" s="14">
        <v>61.9178</v>
      </c>
      <c r="G134" s="15">
        <f t="shared" si="16"/>
        <v>0.61917800000000001</v>
      </c>
      <c r="H134" s="18">
        <f t="shared" si="17"/>
        <v>8916.1632000000009</v>
      </c>
      <c r="I134" s="16">
        <v>160</v>
      </c>
      <c r="J134" s="16">
        <v>310</v>
      </c>
      <c r="K134" s="16">
        <v>169</v>
      </c>
      <c r="L134" s="16">
        <f t="shared" si="18"/>
        <v>150</v>
      </c>
      <c r="M134" s="20">
        <f t="shared" si="19"/>
        <v>0.14799999999999999</v>
      </c>
      <c r="N134" s="19">
        <v>0.61917800000000001</v>
      </c>
      <c r="O134" s="22">
        <v>100</v>
      </c>
      <c r="P134" s="13">
        <f t="shared" si="20"/>
        <v>-0.22</v>
      </c>
      <c r="Q134" s="13">
        <f t="shared" si="21"/>
        <v>1.0248740000000001</v>
      </c>
      <c r="R134" s="16">
        <f t="shared" si="22"/>
        <v>37407.901000000005</v>
      </c>
      <c r="S134">
        <f t="shared" si="23"/>
        <v>26185.530700000003</v>
      </c>
    </row>
    <row r="135" spans="1:19" x14ac:dyDescent="0.3">
      <c r="A135" t="s">
        <v>156</v>
      </c>
      <c r="B135" t="s">
        <v>304</v>
      </c>
      <c r="C135" t="s">
        <v>331</v>
      </c>
      <c r="D135">
        <v>1</v>
      </c>
      <c r="E135" s="16">
        <v>1000</v>
      </c>
      <c r="F135" s="14">
        <v>54.794499999999999</v>
      </c>
      <c r="G135" s="15">
        <f t="shared" si="16"/>
        <v>0.54794500000000002</v>
      </c>
      <c r="H135" s="18">
        <f t="shared" si="17"/>
        <v>6575.34</v>
      </c>
      <c r="I135" s="16">
        <v>95</v>
      </c>
      <c r="J135" s="16">
        <v>280</v>
      </c>
      <c r="K135" s="16">
        <v>174</v>
      </c>
      <c r="L135" s="16">
        <f t="shared" si="18"/>
        <v>185</v>
      </c>
      <c r="M135" s="20">
        <f t="shared" si="19"/>
        <v>0.44162162162162161</v>
      </c>
      <c r="N135" s="19">
        <v>0.54794500000000002</v>
      </c>
      <c r="O135" s="22">
        <v>100</v>
      </c>
      <c r="P135" s="13">
        <f t="shared" si="20"/>
        <v>0.12162162162162163</v>
      </c>
      <c r="Q135" s="13">
        <f t="shared" si="21"/>
        <v>0.75441216216216223</v>
      </c>
      <c r="R135" s="16">
        <f t="shared" si="22"/>
        <v>27536.04391891892</v>
      </c>
      <c r="S135">
        <f t="shared" si="23"/>
        <v>19275.230743243243</v>
      </c>
    </row>
    <row r="136" spans="1:19" x14ac:dyDescent="0.3">
      <c r="A136" t="s">
        <v>157</v>
      </c>
      <c r="B136" t="s">
        <v>304</v>
      </c>
      <c r="C136" t="s">
        <v>331</v>
      </c>
      <c r="D136">
        <v>2</v>
      </c>
      <c r="E136" s="16">
        <v>1200</v>
      </c>
      <c r="F136" s="14">
        <v>27.1233</v>
      </c>
      <c r="G136" s="15">
        <f t="shared" si="16"/>
        <v>0.271233</v>
      </c>
      <c r="H136" s="18">
        <f t="shared" si="17"/>
        <v>3905.7552000000001</v>
      </c>
      <c r="I136" s="16">
        <v>125</v>
      </c>
      <c r="J136" s="16">
        <v>277</v>
      </c>
      <c r="K136" s="16">
        <v>203</v>
      </c>
      <c r="L136" s="16">
        <f t="shared" si="18"/>
        <v>152</v>
      </c>
      <c r="M136" s="20">
        <f t="shared" si="19"/>
        <v>0.51052631578947372</v>
      </c>
      <c r="N136" s="19">
        <v>0.271233</v>
      </c>
      <c r="O136" s="22">
        <v>100</v>
      </c>
      <c r="P136" s="13">
        <f t="shared" si="20"/>
        <v>-3.1578947368421054E-2</v>
      </c>
      <c r="Q136" s="13">
        <f t="shared" si="21"/>
        <v>0.87570105263157894</v>
      </c>
      <c r="R136" s="16">
        <f t="shared" si="22"/>
        <v>31963.088421052631</v>
      </c>
      <c r="S136">
        <f t="shared" si="23"/>
        <v>22374.161894736841</v>
      </c>
    </row>
    <row r="137" spans="1:19" x14ac:dyDescent="0.3">
      <c r="A137" t="s">
        <v>158</v>
      </c>
      <c r="B137" t="s">
        <v>304</v>
      </c>
      <c r="C137" t="s">
        <v>332</v>
      </c>
      <c r="D137">
        <v>1</v>
      </c>
      <c r="E137" s="16">
        <v>1400</v>
      </c>
      <c r="F137" s="14">
        <v>76.164400000000001</v>
      </c>
      <c r="G137" s="15">
        <f t="shared" si="16"/>
        <v>0.76164399999999999</v>
      </c>
      <c r="H137" s="18">
        <f t="shared" si="17"/>
        <v>12795.619199999999</v>
      </c>
      <c r="I137" s="16">
        <v>209</v>
      </c>
      <c r="J137" s="16">
        <v>384</v>
      </c>
      <c r="K137" s="16">
        <v>240</v>
      </c>
      <c r="L137" s="16">
        <f t="shared" si="18"/>
        <v>175</v>
      </c>
      <c r="M137" s="20">
        <f t="shared" si="19"/>
        <v>0.24171428571428571</v>
      </c>
      <c r="N137" s="19">
        <v>0.76164399999999999</v>
      </c>
      <c r="O137" s="22">
        <v>100</v>
      </c>
      <c r="P137" s="13">
        <f t="shared" si="20"/>
        <v>-0.3982857142857143</v>
      </c>
      <c r="Q137" s="13">
        <f t="shared" si="21"/>
        <v>1.1660227999999999</v>
      </c>
      <c r="R137" s="16">
        <f t="shared" si="22"/>
        <v>42559.832199999997</v>
      </c>
      <c r="S137">
        <f t="shared" si="23"/>
        <v>29791.882539999995</v>
      </c>
    </row>
    <row r="138" spans="1:19" x14ac:dyDescent="0.3">
      <c r="A138" t="s">
        <v>159</v>
      </c>
      <c r="B138" t="s">
        <v>302</v>
      </c>
      <c r="C138" t="s">
        <v>332</v>
      </c>
      <c r="D138">
        <v>1</v>
      </c>
      <c r="E138" s="16">
        <v>2700</v>
      </c>
      <c r="F138" s="14">
        <v>51.232900000000001</v>
      </c>
      <c r="G138" s="15">
        <f t="shared" si="16"/>
        <v>0.51232900000000003</v>
      </c>
      <c r="H138" s="18">
        <f t="shared" si="17"/>
        <v>16599.459600000002</v>
      </c>
      <c r="I138" s="16">
        <v>202</v>
      </c>
      <c r="J138" s="16">
        <v>629</v>
      </c>
      <c r="K138" s="16">
        <v>389</v>
      </c>
      <c r="L138" s="16">
        <f t="shared" si="18"/>
        <v>427</v>
      </c>
      <c r="M138" s="20">
        <f t="shared" si="19"/>
        <v>0.45035128805620611</v>
      </c>
      <c r="N138" s="19">
        <v>0.51232900000000003</v>
      </c>
      <c r="O138" s="22">
        <v>100</v>
      </c>
      <c r="P138" s="13">
        <f t="shared" si="20"/>
        <v>-9.1100702576112413E-2</v>
      </c>
      <c r="Q138" s="13">
        <f t="shared" si="21"/>
        <v>0.92282442622950822</v>
      </c>
      <c r="R138" s="16">
        <f t="shared" si="22"/>
        <v>33683.091557377047</v>
      </c>
      <c r="S138">
        <f t="shared" si="23"/>
        <v>23578.164090163933</v>
      </c>
    </row>
    <row r="139" spans="1:19" x14ac:dyDescent="0.3">
      <c r="A139" t="s">
        <v>160</v>
      </c>
      <c r="B139" t="s">
        <v>304</v>
      </c>
      <c r="C139" t="s">
        <v>332</v>
      </c>
      <c r="D139">
        <v>2</v>
      </c>
      <c r="E139" s="16">
        <v>1600</v>
      </c>
      <c r="F139" s="14">
        <v>60.821899999999999</v>
      </c>
      <c r="G139" s="15">
        <f t="shared" si="16"/>
        <v>0.60821899999999995</v>
      </c>
      <c r="H139" s="18">
        <f t="shared" si="17"/>
        <v>11677.8048</v>
      </c>
      <c r="I139" s="16">
        <v>220</v>
      </c>
      <c r="J139" s="16">
        <v>418</v>
      </c>
      <c r="K139" s="16">
        <v>312</v>
      </c>
      <c r="L139" s="16">
        <f t="shared" si="18"/>
        <v>198</v>
      </c>
      <c r="M139" s="20">
        <f t="shared" si="19"/>
        <v>0.4717171717171717</v>
      </c>
      <c r="N139" s="19">
        <v>0.60821899999999995</v>
      </c>
      <c r="O139" s="22">
        <v>100</v>
      </c>
      <c r="P139" s="13">
        <f t="shared" si="20"/>
        <v>-0.38484848484848483</v>
      </c>
      <c r="Q139" s="13">
        <f t="shared" si="21"/>
        <v>1.1553845454545455</v>
      </c>
      <c r="R139" s="16">
        <f t="shared" si="22"/>
        <v>42171.535909090911</v>
      </c>
      <c r="S139">
        <f t="shared" si="23"/>
        <v>29520.075136363637</v>
      </c>
    </row>
    <row r="140" spans="1:19" x14ac:dyDescent="0.3">
      <c r="A140" t="s">
        <v>161</v>
      </c>
      <c r="B140" t="s">
        <v>305</v>
      </c>
      <c r="C140" t="s">
        <v>331</v>
      </c>
      <c r="D140">
        <v>1</v>
      </c>
      <c r="E140" s="16">
        <v>1105</v>
      </c>
      <c r="F140" s="14">
        <v>61.0959</v>
      </c>
      <c r="G140" s="15">
        <f t="shared" si="16"/>
        <v>0.61095900000000003</v>
      </c>
      <c r="H140" s="18">
        <f t="shared" si="17"/>
        <v>8101.3163400000003</v>
      </c>
      <c r="I140" s="16">
        <v>82</v>
      </c>
      <c r="J140" s="16">
        <v>235</v>
      </c>
      <c r="K140" s="16">
        <v>111</v>
      </c>
      <c r="L140" s="16">
        <f t="shared" si="18"/>
        <v>153</v>
      </c>
      <c r="M140" s="20">
        <f t="shared" si="19"/>
        <v>0.25163398692810457</v>
      </c>
      <c r="N140" s="19">
        <v>0.61095900000000003</v>
      </c>
      <c r="O140" s="22">
        <v>100</v>
      </c>
      <c r="P140" s="13">
        <f t="shared" si="20"/>
        <v>0.19411764705882353</v>
      </c>
      <c r="Q140" s="13">
        <f t="shared" si="21"/>
        <v>0.69701705882352938</v>
      </c>
      <c r="R140" s="16">
        <f t="shared" si="22"/>
        <v>25441.122647058823</v>
      </c>
      <c r="S140">
        <f t="shared" si="23"/>
        <v>17808.785852941175</v>
      </c>
    </row>
    <row r="141" spans="1:19" x14ac:dyDescent="0.3">
      <c r="A141" t="s">
        <v>162</v>
      </c>
      <c r="B141" t="s">
        <v>305</v>
      </c>
      <c r="C141" t="s">
        <v>331</v>
      </c>
      <c r="D141">
        <v>2</v>
      </c>
      <c r="E141" s="16">
        <v>1665</v>
      </c>
      <c r="F141" s="14">
        <v>30.684899999999999</v>
      </c>
      <c r="G141" s="15">
        <f t="shared" si="16"/>
        <v>0.30684899999999998</v>
      </c>
      <c r="H141" s="18">
        <f t="shared" si="17"/>
        <v>6130.8430199999993</v>
      </c>
      <c r="I141" s="16">
        <v>130</v>
      </c>
      <c r="J141" s="16">
        <v>200</v>
      </c>
      <c r="K141" s="16">
        <v>169</v>
      </c>
      <c r="L141" s="16">
        <f t="shared" si="18"/>
        <v>70</v>
      </c>
      <c r="M141" s="20">
        <f t="shared" si="19"/>
        <v>0.54571428571428571</v>
      </c>
      <c r="N141" s="19">
        <v>0.30684899999999998</v>
      </c>
      <c r="O141" s="22">
        <v>100</v>
      </c>
      <c r="P141" s="13">
        <f t="shared" si="20"/>
        <v>-0.24285714285714285</v>
      </c>
      <c r="Q141" s="13">
        <f t="shared" si="21"/>
        <v>1.04297</v>
      </c>
      <c r="R141" s="16">
        <f t="shared" si="22"/>
        <v>38068.404999999999</v>
      </c>
      <c r="S141">
        <f t="shared" si="23"/>
        <v>26647.883499999996</v>
      </c>
    </row>
    <row r="142" spans="1:19" x14ac:dyDescent="0.3">
      <c r="A142" t="s">
        <v>163</v>
      </c>
      <c r="B142" t="s">
        <v>305</v>
      </c>
      <c r="C142" t="s">
        <v>332</v>
      </c>
      <c r="D142">
        <v>1</v>
      </c>
      <c r="E142" s="16">
        <v>1175</v>
      </c>
      <c r="F142" s="14">
        <v>52.328800000000001</v>
      </c>
      <c r="G142" s="15">
        <f t="shared" si="16"/>
        <v>0.52328799999999998</v>
      </c>
      <c r="H142" s="18">
        <f t="shared" si="17"/>
        <v>7378.3607999999995</v>
      </c>
      <c r="I142" s="16">
        <v>106</v>
      </c>
      <c r="J142" s="16">
        <v>267</v>
      </c>
      <c r="K142" s="16">
        <v>201</v>
      </c>
      <c r="L142" s="16">
        <f t="shared" si="18"/>
        <v>161</v>
      </c>
      <c r="M142" s="20">
        <f t="shared" si="19"/>
        <v>0.57204968944099377</v>
      </c>
      <c r="N142" s="19">
        <v>0.52328799999999998</v>
      </c>
      <c r="O142" s="22">
        <v>100</v>
      </c>
      <c r="P142" s="13">
        <f t="shared" si="20"/>
        <v>7.0186335403726707E-2</v>
      </c>
      <c r="Q142" s="13">
        <f t="shared" si="21"/>
        <v>0.79513347826086955</v>
      </c>
      <c r="R142" s="16">
        <f t="shared" si="22"/>
        <v>29022.37195652174</v>
      </c>
      <c r="S142">
        <f t="shared" si="23"/>
        <v>20315.660369565216</v>
      </c>
    </row>
    <row r="143" spans="1:19" x14ac:dyDescent="0.3">
      <c r="A143" t="s">
        <v>164</v>
      </c>
      <c r="B143" t="s">
        <v>305</v>
      </c>
      <c r="C143" t="s">
        <v>332</v>
      </c>
      <c r="D143">
        <v>2</v>
      </c>
      <c r="E143" s="16">
        <v>1725</v>
      </c>
      <c r="F143" s="14">
        <v>48.219200000000001</v>
      </c>
      <c r="G143" s="15">
        <f t="shared" si="16"/>
        <v>0.48219200000000001</v>
      </c>
      <c r="H143" s="18">
        <f t="shared" si="17"/>
        <v>9981.3744000000006</v>
      </c>
      <c r="I143" s="16">
        <v>195</v>
      </c>
      <c r="J143" s="16">
        <v>305</v>
      </c>
      <c r="K143" s="16">
        <v>242</v>
      </c>
      <c r="L143" s="16">
        <f t="shared" si="18"/>
        <v>110</v>
      </c>
      <c r="M143" s="20">
        <f t="shared" si="19"/>
        <v>0.44181818181818183</v>
      </c>
      <c r="N143" s="19">
        <v>0.48219200000000001</v>
      </c>
      <c r="O143" s="22">
        <v>100</v>
      </c>
      <c r="P143" s="13">
        <f t="shared" si="20"/>
        <v>-0.59090909090909094</v>
      </c>
      <c r="Q143" s="13">
        <f t="shared" si="21"/>
        <v>1.3185227272727273</v>
      </c>
      <c r="R143" s="16">
        <f t="shared" si="22"/>
        <v>48126.079545454551</v>
      </c>
      <c r="S143">
        <f t="shared" si="23"/>
        <v>33688.255681818184</v>
      </c>
    </row>
    <row r="144" spans="1:19" x14ac:dyDescent="0.3">
      <c r="A144" t="s">
        <v>165</v>
      </c>
      <c r="B144" t="s">
        <v>306</v>
      </c>
      <c r="C144" t="s">
        <v>331</v>
      </c>
      <c r="D144">
        <v>1</v>
      </c>
      <c r="E144" s="16">
        <v>709</v>
      </c>
      <c r="F144" s="14">
        <v>22.191800000000001</v>
      </c>
      <c r="G144" s="15">
        <f t="shared" si="16"/>
        <v>0.221918</v>
      </c>
      <c r="H144" s="18">
        <f t="shared" si="17"/>
        <v>1888.078344</v>
      </c>
      <c r="I144" s="16">
        <v>86</v>
      </c>
      <c r="J144" s="16">
        <v>192</v>
      </c>
      <c r="K144" s="16">
        <v>158</v>
      </c>
      <c r="L144" s="16">
        <f t="shared" si="18"/>
        <v>106</v>
      </c>
      <c r="M144" s="20">
        <f t="shared" si="19"/>
        <v>0.64339622641509431</v>
      </c>
      <c r="N144" s="19">
        <v>0.221918</v>
      </c>
      <c r="O144" s="22">
        <v>100</v>
      </c>
      <c r="P144" s="13">
        <f t="shared" si="20"/>
        <v>0.20566037735849058</v>
      </c>
      <c r="Q144" s="13">
        <f t="shared" si="21"/>
        <v>0.68787867924528301</v>
      </c>
      <c r="R144" s="16">
        <f t="shared" si="22"/>
        <v>25107.571792452829</v>
      </c>
      <c r="S144">
        <f t="shared" si="23"/>
        <v>17575.300254716978</v>
      </c>
    </row>
    <row r="145" spans="1:19" x14ac:dyDescent="0.3">
      <c r="A145" t="s">
        <v>166</v>
      </c>
      <c r="B145" t="s">
        <v>306</v>
      </c>
      <c r="C145" t="s">
        <v>331</v>
      </c>
      <c r="D145">
        <v>2</v>
      </c>
      <c r="E145" s="16">
        <v>869</v>
      </c>
      <c r="F145" s="14">
        <v>38.9041</v>
      </c>
      <c r="G145" s="15">
        <f t="shared" si="16"/>
        <v>0.38904099999999997</v>
      </c>
      <c r="H145" s="18">
        <f t="shared" si="17"/>
        <v>4056.9195479999998</v>
      </c>
      <c r="I145" s="16">
        <v>135</v>
      </c>
      <c r="J145" s="16">
        <v>305</v>
      </c>
      <c r="K145" s="16">
        <v>246</v>
      </c>
      <c r="L145" s="16">
        <f t="shared" si="18"/>
        <v>170</v>
      </c>
      <c r="M145" s="20">
        <f t="shared" si="19"/>
        <v>0.62235294117647055</v>
      </c>
      <c r="N145" s="19">
        <v>0.38904099999999997</v>
      </c>
      <c r="O145" s="22">
        <v>100</v>
      </c>
      <c r="P145" s="13">
        <f t="shared" si="20"/>
        <v>-6.4705882352941183E-2</v>
      </c>
      <c r="Q145" s="13">
        <f t="shared" si="21"/>
        <v>0.90192764705882356</v>
      </c>
      <c r="R145" s="16">
        <f t="shared" si="22"/>
        <v>32920.359117647058</v>
      </c>
      <c r="S145">
        <f t="shared" si="23"/>
        <v>23044.251382352941</v>
      </c>
    </row>
    <row r="146" spans="1:19" x14ac:dyDescent="0.3">
      <c r="A146" t="s">
        <v>167</v>
      </c>
      <c r="B146" t="s">
        <v>306</v>
      </c>
      <c r="C146" t="s">
        <v>332</v>
      </c>
      <c r="D146">
        <v>1</v>
      </c>
      <c r="E146" s="16">
        <v>925</v>
      </c>
      <c r="F146" s="14">
        <v>41.643799999999999</v>
      </c>
      <c r="G146" s="15">
        <f t="shared" si="16"/>
        <v>0.41643799999999997</v>
      </c>
      <c r="H146" s="18">
        <f t="shared" si="17"/>
        <v>4622.4618</v>
      </c>
      <c r="I146" s="16">
        <v>125</v>
      </c>
      <c r="J146" s="16">
        <v>288</v>
      </c>
      <c r="K146" s="16">
        <v>207</v>
      </c>
      <c r="L146" s="16">
        <f t="shared" si="18"/>
        <v>163</v>
      </c>
      <c r="M146" s="20">
        <f t="shared" si="19"/>
        <v>0.50245398773006134</v>
      </c>
      <c r="N146" s="19">
        <v>0.41643799999999997</v>
      </c>
      <c r="O146" s="22">
        <v>100</v>
      </c>
      <c r="P146" s="13">
        <f t="shared" si="20"/>
        <v>-2.2699386503067485E-2</v>
      </c>
      <c r="Q146" s="13">
        <f t="shared" si="21"/>
        <v>0.86867110429447858</v>
      </c>
      <c r="R146" s="16">
        <f t="shared" si="22"/>
        <v>31706.495306748468</v>
      </c>
      <c r="S146">
        <f t="shared" si="23"/>
        <v>22194.546714723925</v>
      </c>
    </row>
    <row r="147" spans="1:19" x14ac:dyDescent="0.3">
      <c r="A147" t="s">
        <v>168</v>
      </c>
      <c r="B147" t="s">
        <v>306</v>
      </c>
      <c r="C147" t="s">
        <v>332</v>
      </c>
      <c r="D147">
        <v>2</v>
      </c>
      <c r="E147" s="16">
        <v>1350</v>
      </c>
      <c r="F147" s="14">
        <v>48.493200000000002</v>
      </c>
      <c r="G147" s="15">
        <f t="shared" si="16"/>
        <v>0.48493200000000003</v>
      </c>
      <c r="H147" s="18">
        <f t="shared" si="17"/>
        <v>7855.8984</v>
      </c>
      <c r="I147" s="16">
        <v>119</v>
      </c>
      <c r="J147" s="16">
        <v>360</v>
      </c>
      <c r="K147" s="16">
        <v>224</v>
      </c>
      <c r="L147" s="16">
        <f t="shared" si="18"/>
        <v>241</v>
      </c>
      <c r="M147" s="20">
        <f t="shared" si="19"/>
        <v>0.44854771784232367</v>
      </c>
      <c r="N147" s="19">
        <v>0.48493200000000003</v>
      </c>
      <c r="O147" s="22">
        <v>100</v>
      </c>
      <c r="P147" s="13">
        <f t="shared" si="20"/>
        <v>3.6929460580912864E-2</v>
      </c>
      <c r="Q147" s="13">
        <f t="shared" si="21"/>
        <v>0.82146294605809134</v>
      </c>
      <c r="R147" s="16">
        <f t="shared" si="22"/>
        <v>29983.397531120332</v>
      </c>
      <c r="S147">
        <f t="shared" si="23"/>
        <v>20988.37827178423</v>
      </c>
    </row>
    <row r="148" spans="1:19" x14ac:dyDescent="0.3">
      <c r="A148" t="s">
        <v>169</v>
      </c>
      <c r="B148" t="s">
        <v>307</v>
      </c>
      <c r="C148" t="s">
        <v>331</v>
      </c>
      <c r="D148">
        <v>1</v>
      </c>
      <c r="E148" s="16">
        <v>900</v>
      </c>
      <c r="F148" s="14">
        <v>55.0685</v>
      </c>
      <c r="G148" s="15">
        <f t="shared" si="16"/>
        <v>0.55068499999999998</v>
      </c>
      <c r="H148" s="18">
        <f t="shared" si="17"/>
        <v>5947.3980000000001</v>
      </c>
      <c r="I148" s="16">
        <v>89</v>
      </c>
      <c r="J148" s="16">
        <v>177</v>
      </c>
      <c r="K148" s="16">
        <v>139</v>
      </c>
      <c r="L148" s="16">
        <f t="shared" si="18"/>
        <v>88</v>
      </c>
      <c r="M148" s="20">
        <f t="shared" si="19"/>
        <v>0.55454545454545456</v>
      </c>
      <c r="N148" s="19">
        <v>0.55068499999999998</v>
      </c>
      <c r="O148" s="22">
        <v>100</v>
      </c>
      <c r="P148" s="13">
        <f t="shared" si="20"/>
        <v>0.2</v>
      </c>
      <c r="Q148" s="13">
        <f t="shared" si="21"/>
        <v>0.69235999999999998</v>
      </c>
      <c r="R148" s="16">
        <f t="shared" si="22"/>
        <v>25271.14</v>
      </c>
      <c r="S148">
        <f t="shared" si="23"/>
        <v>17689.797999999999</v>
      </c>
    </row>
    <row r="149" spans="1:19" x14ac:dyDescent="0.3">
      <c r="A149" t="s">
        <v>170</v>
      </c>
      <c r="B149" t="s">
        <v>302</v>
      </c>
      <c r="C149" t="s">
        <v>332</v>
      </c>
      <c r="D149">
        <v>2</v>
      </c>
      <c r="E149" s="16">
        <v>3200</v>
      </c>
      <c r="F149" s="14">
        <v>81.643799999999999</v>
      </c>
      <c r="G149" s="15">
        <f t="shared" si="16"/>
        <v>0.816438</v>
      </c>
      <c r="H149" s="18">
        <f t="shared" si="17"/>
        <v>31351.2192</v>
      </c>
      <c r="I149" s="16">
        <v>195</v>
      </c>
      <c r="J149" s="16">
        <v>844</v>
      </c>
      <c r="K149" s="16">
        <v>325</v>
      </c>
      <c r="L149" s="16">
        <f t="shared" si="18"/>
        <v>649</v>
      </c>
      <c r="M149" s="20">
        <f t="shared" si="19"/>
        <v>0.26024653312788903</v>
      </c>
      <c r="N149" s="19">
        <v>0.816438</v>
      </c>
      <c r="O149" s="22">
        <v>100</v>
      </c>
      <c r="P149" s="13">
        <f t="shared" si="20"/>
        <v>-1.7103235747303543E-2</v>
      </c>
      <c r="Q149" s="13">
        <f t="shared" si="21"/>
        <v>0.86424063174114019</v>
      </c>
      <c r="R149" s="16">
        <f t="shared" si="22"/>
        <v>31544.783058551617</v>
      </c>
      <c r="S149">
        <f t="shared" si="23"/>
        <v>22081.348140986131</v>
      </c>
    </row>
    <row r="150" spans="1:19" x14ac:dyDescent="0.3">
      <c r="A150" t="s">
        <v>171</v>
      </c>
      <c r="B150" t="s">
        <v>307</v>
      </c>
      <c r="C150" t="s">
        <v>331</v>
      </c>
      <c r="D150">
        <v>2</v>
      </c>
      <c r="E150" s="16">
        <v>1325</v>
      </c>
      <c r="F150" s="14">
        <v>29.315100000000001</v>
      </c>
      <c r="G150" s="15">
        <f t="shared" si="16"/>
        <v>0.29315099999999999</v>
      </c>
      <c r="H150" s="18">
        <f t="shared" si="17"/>
        <v>4661.1009000000004</v>
      </c>
      <c r="I150" s="16">
        <v>161</v>
      </c>
      <c r="J150" s="16">
        <v>319</v>
      </c>
      <c r="K150" s="16">
        <v>283</v>
      </c>
      <c r="L150" s="16">
        <f t="shared" si="18"/>
        <v>158</v>
      </c>
      <c r="M150" s="20">
        <f t="shared" si="19"/>
        <v>0.71772151898734182</v>
      </c>
      <c r="N150" s="19">
        <v>0.29315099999999999</v>
      </c>
      <c r="O150" s="22">
        <v>100</v>
      </c>
      <c r="P150" s="13">
        <f t="shared" si="20"/>
        <v>-0.20886075949367089</v>
      </c>
      <c r="Q150" s="13">
        <f t="shared" si="21"/>
        <v>1.0160550632911391</v>
      </c>
      <c r="R150" s="16">
        <f t="shared" si="22"/>
        <v>37086.009810126576</v>
      </c>
      <c r="S150">
        <f t="shared" si="23"/>
        <v>25960.2068670886</v>
      </c>
    </row>
    <row r="151" spans="1:19" x14ac:dyDescent="0.3">
      <c r="A151" t="s">
        <v>172</v>
      </c>
      <c r="B151" t="s">
        <v>307</v>
      </c>
      <c r="C151" t="s">
        <v>332</v>
      </c>
      <c r="D151">
        <v>1</v>
      </c>
      <c r="E151" s="16">
        <v>975</v>
      </c>
      <c r="F151" s="14">
        <v>50.137</v>
      </c>
      <c r="G151" s="15">
        <f t="shared" si="16"/>
        <v>0.50136999999999998</v>
      </c>
      <c r="H151" s="18">
        <f t="shared" si="17"/>
        <v>5866.0289999999995</v>
      </c>
      <c r="I151" s="16">
        <v>145</v>
      </c>
      <c r="J151" s="16">
        <v>300</v>
      </c>
      <c r="K151" s="16">
        <v>192</v>
      </c>
      <c r="L151" s="16">
        <f t="shared" si="18"/>
        <v>155</v>
      </c>
      <c r="M151" s="20">
        <f t="shared" si="19"/>
        <v>0.34258064516129033</v>
      </c>
      <c r="N151" s="19">
        <v>0.50136999999999998</v>
      </c>
      <c r="O151" s="22">
        <v>100</v>
      </c>
      <c r="P151" s="13">
        <f t="shared" si="20"/>
        <v>-0.13225806451612904</v>
      </c>
      <c r="Q151" s="13">
        <f t="shared" si="21"/>
        <v>0.95540870967741931</v>
      </c>
      <c r="R151" s="16">
        <f t="shared" si="22"/>
        <v>34872.417903225803</v>
      </c>
      <c r="S151">
        <f t="shared" si="23"/>
        <v>24410.692532258061</v>
      </c>
    </row>
    <row r="152" spans="1:19" x14ac:dyDescent="0.3">
      <c r="A152" t="s">
        <v>173</v>
      </c>
      <c r="B152" t="s">
        <v>307</v>
      </c>
      <c r="C152" t="s">
        <v>332</v>
      </c>
      <c r="D152">
        <v>2</v>
      </c>
      <c r="E152" s="16">
        <v>1550</v>
      </c>
      <c r="F152" s="14">
        <v>30.137</v>
      </c>
      <c r="G152" s="15">
        <f t="shared" si="16"/>
        <v>0.30137000000000003</v>
      </c>
      <c r="H152" s="18">
        <f t="shared" si="17"/>
        <v>5605.4820000000009</v>
      </c>
      <c r="I152" s="16">
        <v>185</v>
      </c>
      <c r="J152" s="16">
        <v>376</v>
      </c>
      <c r="K152" s="16">
        <v>307</v>
      </c>
      <c r="L152" s="16">
        <f t="shared" si="18"/>
        <v>191</v>
      </c>
      <c r="M152" s="20">
        <f t="shared" si="19"/>
        <v>0.61099476439790579</v>
      </c>
      <c r="N152" s="19">
        <v>0.30137000000000003</v>
      </c>
      <c r="O152" s="22">
        <v>100</v>
      </c>
      <c r="P152" s="13">
        <f t="shared" si="20"/>
        <v>-0.25602094240837697</v>
      </c>
      <c r="Q152" s="13">
        <f t="shared" si="21"/>
        <v>1.0533917801047121</v>
      </c>
      <c r="R152" s="16">
        <f t="shared" si="22"/>
        <v>38448.799973821995</v>
      </c>
      <c r="S152">
        <f t="shared" si="23"/>
        <v>26914.159981675395</v>
      </c>
    </row>
    <row r="153" spans="1:19" x14ac:dyDescent="0.3">
      <c r="A153" t="s">
        <v>174</v>
      </c>
      <c r="B153" t="s">
        <v>308</v>
      </c>
      <c r="C153" t="s">
        <v>331</v>
      </c>
      <c r="D153">
        <v>1</v>
      </c>
      <c r="E153" s="16">
        <v>1165</v>
      </c>
      <c r="F153" s="14">
        <v>34.246600000000001</v>
      </c>
      <c r="G153" s="15">
        <f t="shared" si="16"/>
        <v>0.34246599999999999</v>
      </c>
      <c r="H153" s="18">
        <f t="shared" si="17"/>
        <v>4787.6746800000001</v>
      </c>
      <c r="I153" s="16">
        <v>135</v>
      </c>
      <c r="J153" s="16">
        <v>220</v>
      </c>
      <c r="K153" s="16">
        <v>180</v>
      </c>
      <c r="L153" s="16">
        <f t="shared" si="18"/>
        <v>85</v>
      </c>
      <c r="M153" s="20">
        <f t="shared" si="19"/>
        <v>0.52352941176470591</v>
      </c>
      <c r="N153" s="19">
        <v>0.34246599999999999</v>
      </c>
      <c r="O153" s="22">
        <v>100</v>
      </c>
      <c r="P153" s="13">
        <f t="shared" si="20"/>
        <v>-0.22941176470588234</v>
      </c>
      <c r="Q153" s="13">
        <f t="shared" si="21"/>
        <v>1.0323252941176471</v>
      </c>
      <c r="R153" s="16">
        <f t="shared" si="22"/>
        <v>37679.873235294115</v>
      </c>
      <c r="S153">
        <f t="shared" si="23"/>
        <v>26375.911264705879</v>
      </c>
    </row>
    <row r="154" spans="1:19" x14ac:dyDescent="0.3">
      <c r="A154" t="s">
        <v>175</v>
      </c>
      <c r="B154" t="s">
        <v>308</v>
      </c>
      <c r="C154" t="s">
        <v>331</v>
      </c>
      <c r="D154">
        <v>2</v>
      </c>
      <c r="E154" s="16">
        <v>1625</v>
      </c>
      <c r="F154" s="14">
        <v>60</v>
      </c>
      <c r="G154" s="15">
        <f t="shared" si="16"/>
        <v>0.6</v>
      </c>
      <c r="H154" s="18">
        <f t="shared" si="17"/>
        <v>11700</v>
      </c>
      <c r="I154" s="16">
        <v>220</v>
      </c>
      <c r="J154" s="16">
        <v>312</v>
      </c>
      <c r="K154" s="16">
        <v>260</v>
      </c>
      <c r="L154" s="16">
        <f t="shared" si="18"/>
        <v>92</v>
      </c>
      <c r="M154" s="20">
        <f t="shared" si="19"/>
        <v>0.44782608695652176</v>
      </c>
      <c r="N154" s="19">
        <v>0.6</v>
      </c>
      <c r="O154" s="22">
        <v>100</v>
      </c>
      <c r="P154" s="13">
        <f t="shared" si="20"/>
        <v>-0.94347826086956521</v>
      </c>
      <c r="Q154" s="13">
        <f t="shared" si="21"/>
        <v>1.5976517391304348</v>
      </c>
      <c r="R154" s="16">
        <f t="shared" si="22"/>
        <v>58314.288478260867</v>
      </c>
      <c r="S154">
        <f t="shared" si="23"/>
        <v>40820.001934782602</v>
      </c>
    </row>
    <row r="155" spans="1:19" x14ac:dyDescent="0.3">
      <c r="A155" t="s">
        <v>176</v>
      </c>
      <c r="B155" t="s">
        <v>308</v>
      </c>
      <c r="C155" t="s">
        <v>332</v>
      </c>
      <c r="D155">
        <v>1</v>
      </c>
      <c r="E155" s="16">
        <v>1400</v>
      </c>
      <c r="F155" s="14">
        <v>49.863</v>
      </c>
      <c r="G155" s="15">
        <f t="shared" si="16"/>
        <v>0.49863000000000002</v>
      </c>
      <c r="H155" s="18">
        <f t="shared" si="17"/>
        <v>8376.9840000000004</v>
      </c>
      <c r="I155" s="16">
        <v>135</v>
      </c>
      <c r="J155" s="16">
        <v>287</v>
      </c>
      <c r="K155" s="16">
        <v>232</v>
      </c>
      <c r="L155" s="16">
        <f t="shared" si="18"/>
        <v>152</v>
      </c>
      <c r="M155" s="20">
        <f t="shared" si="19"/>
        <v>0.61052631578947369</v>
      </c>
      <c r="N155" s="19">
        <v>0.49863000000000002</v>
      </c>
      <c r="O155" s="22">
        <v>100</v>
      </c>
      <c r="P155" s="13">
        <f t="shared" si="20"/>
        <v>-8.4210526315789472E-2</v>
      </c>
      <c r="Q155" s="13">
        <f t="shared" si="21"/>
        <v>0.91736947368421051</v>
      </c>
      <c r="R155" s="16">
        <f t="shared" si="22"/>
        <v>33483.985789473685</v>
      </c>
      <c r="S155">
        <f t="shared" si="23"/>
        <v>23438.790052631579</v>
      </c>
    </row>
    <row r="156" spans="1:19" x14ac:dyDescent="0.3">
      <c r="A156" t="s">
        <v>177</v>
      </c>
      <c r="B156" t="s">
        <v>308</v>
      </c>
      <c r="C156" t="s">
        <v>332</v>
      </c>
      <c r="D156">
        <v>2</v>
      </c>
      <c r="E156" s="16">
        <v>1995</v>
      </c>
      <c r="F156" s="14">
        <v>63.835599999999999</v>
      </c>
      <c r="G156" s="15">
        <f t="shared" si="16"/>
        <v>0.63835600000000003</v>
      </c>
      <c r="H156" s="18">
        <f t="shared" si="17"/>
        <v>15282.24264</v>
      </c>
      <c r="I156" s="16">
        <v>224</v>
      </c>
      <c r="J156" s="16">
        <v>331</v>
      </c>
      <c r="K156" s="16">
        <v>292</v>
      </c>
      <c r="L156" s="16">
        <f t="shared" si="18"/>
        <v>107</v>
      </c>
      <c r="M156" s="20">
        <f t="shared" si="19"/>
        <v>0.608411214953271</v>
      </c>
      <c r="N156" s="19">
        <v>0.63835600000000003</v>
      </c>
      <c r="O156" s="22">
        <v>100</v>
      </c>
      <c r="P156" s="13">
        <f t="shared" si="20"/>
        <v>-0.82710280373831779</v>
      </c>
      <c r="Q156" s="13">
        <f t="shared" si="21"/>
        <v>1.5055172897196263</v>
      </c>
      <c r="R156" s="16">
        <f t="shared" si="22"/>
        <v>54951.381074766359</v>
      </c>
      <c r="S156">
        <f t="shared" si="23"/>
        <v>38465.966752336448</v>
      </c>
    </row>
    <row r="157" spans="1:19" x14ac:dyDescent="0.3">
      <c r="A157" t="s">
        <v>178</v>
      </c>
      <c r="B157" t="s">
        <v>309</v>
      </c>
      <c r="C157" t="s">
        <v>331</v>
      </c>
      <c r="D157">
        <v>1</v>
      </c>
      <c r="E157" s="16">
        <v>760</v>
      </c>
      <c r="F157" s="14">
        <v>29.0411</v>
      </c>
      <c r="G157" s="15">
        <f t="shared" si="16"/>
        <v>0.29041099999999997</v>
      </c>
      <c r="H157" s="18">
        <f t="shared" si="17"/>
        <v>2648.5483199999999</v>
      </c>
      <c r="I157" s="16">
        <v>100</v>
      </c>
      <c r="J157" s="16">
        <v>195</v>
      </c>
      <c r="K157" s="16">
        <v>169</v>
      </c>
      <c r="L157" s="16">
        <f t="shared" si="18"/>
        <v>95</v>
      </c>
      <c r="M157" s="20">
        <f t="shared" si="19"/>
        <v>0.68105263157894735</v>
      </c>
      <c r="N157" s="19">
        <v>0.29041099999999997</v>
      </c>
      <c r="O157" s="22">
        <v>100</v>
      </c>
      <c r="P157" s="13">
        <f t="shared" si="20"/>
        <v>0.1</v>
      </c>
      <c r="Q157" s="13">
        <f t="shared" si="21"/>
        <v>0.77153000000000005</v>
      </c>
      <c r="R157" s="16">
        <f t="shared" si="22"/>
        <v>28160.845000000001</v>
      </c>
      <c r="S157">
        <f t="shared" si="23"/>
        <v>19712.591499999999</v>
      </c>
    </row>
    <row r="158" spans="1:19" x14ac:dyDescent="0.3">
      <c r="A158" t="s">
        <v>179</v>
      </c>
      <c r="B158" t="s">
        <v>309</v>
      </c>
      <c r="C158" t="s">
        <v>331</v>
      </c>
      <c r="D158">
        <v>2</v>
      </c>
      <c r="E158" s="16">
        <v>965</v>
      </c>
      <c r="F158" s="14">
        <v>53.9726</v>
      </c>
      <c r="G158" s="15">
        <f t="shared" si="16"/>
        <v>0.53972600000000004</v>
      </c>
      <c r="H158" s="18">
        <f t="shared" si="17"/>
        <v>6250.0270800000008</v>
      </c>
      <c r="I158" s="16">
        <v>135</v>
      </c>
      <c r="J158" s="16">
        <v>284</v>
      </c>
      <c r="K158" s="16">
        <v>189</v>
      </c>
      <c r="L158" s="16">
        <f t="shared" si="18"/>
        <v>149</v>
      </c>
      <c r="M158" s="20">
        <f t="shared" si="19"/>
        <v>0.38993288590604025</v>
      </c>
      <c r="N158" s="19">
        <v>0.53972600000000004</v>
      </c>
      <c r="O158" s="22">
        <v>100</v>
      </c>
      <c r="P158" s="13">
        <f t="shared" si="20"/>
        <v>-8.7919463087248323E-2</v>
      </c>
      <c r="Q158" s="13">
        <f t="shared" si="21"/>
        <v>0.92030583892617446</v>
      </c>
      <c r="R158" s="16">
        <f t="shared" si="22"/>
        <v>33591.163120805366</v>
      </c>
      <c r="S158">
        <f t="shared" si="23"/>
        <v>23513.814184563755</v>
      </c>
    </row>
    <row r="159" spans="1:19" x14ac:dyDescent="0.3">
      <c r="A159" t="s">
        <v>180</v>
      </c>
      <c r="B159" t="s">
        <v>309</v>
      </c>
      <c r="C159" t="s">
        <v>332</v>
      </c>
      <c r="D159">
        <v>1</v>
      </c>
      <c r="E159" s="16">
        <v>1185</v>
      </c>
      <c r="F159" s="14">
        <v>27.9452</v>
      </c>
      <c r="G159" s="15">
        <f t="shared" si="16"/>
        <v>0.27945199999999998</v>
      </c>
      <c r="H159" s="18">
        <f t="shared" si="17"/>
        <v>3973.8074399999996</v>
      </c>
      <c r="I159" s="16">
        <v>157</v>
      </c>
      <c r="J159" s="16">
        <v>320</v>
      </c>
      <c r="K159" s="16">
        <v>289</v>
      </c>
      <c r="L159" s="16">
        <f t="shared" si="18"/>
        <v>163</v>
      </c>
      <c r="M159" s="20">
        <f t="shared" si="19"/>
        <v>0.74785276073619633</v>
      </c>
      <c r="N159" s="19">
        <v>0.27945199999999998</v>
      </c>
      <c r="O159" s="22">
        <v>100</v>
      </c>
      <c r="P159" s="13">
        <f t="shared" si="20"/>
        <v>-0.17975460122699385</v>
      </c>
      <c r="Q159" s="13">
        <f t="shared" si="21"/>
        <v>0.99301171779141106</v>
      </c>
      <c r="R159" s="16">
        <f t="shared" si="22"/>
        <v>36244.927699386506</v>
      </c>
      <c r="S159">
        <f t="shared" si="23"/>
        <v>25371.449389570553</v>
      </c>
    </row>
    <row r="160" spans="1:19" x14ac:dyDescent="0.3">
      <c r="A160" t="s">
        <v>181</v>
      </c>
      <c r="B160" t="s">
        <v>302</v>
      </c>
      <c r="C160" t="s">
        <v>331</v>
      </c>
      <c r="D160">
        <v>1</v>
      </c>
      <c r="E160" s="16">
        <v>1700</v>
      </c>
      <c r="F160" s="14">
        <v>67.671199999999999</v>
      </c>
      <c r="G160" s="15">
        <f t="shared" si="16"/>
        <v>0.67671199999999998</v>
      </c>
      <c r="H160" s="18">
        <f t="shared" si="17"/>
        <v>13804.924799999999</v>
      </c>
      <c r="I160" s="16">
        <v>98</v>
      </c>
      <c r="J160" s="16">
        <v>430</v>
      </c>
      <c r="K160" s="16">
        <v>239</v>
      </c>
      <c r="L160" s="16">
        <f t="shared" si="18"/>
        <v>332</v>
      </c>
      <c r="M160" s="20">
        <f t="shared" si="19"/>
        <v>0.43975903614457829</v>
      </c>
      <c r="N160" s="19">
        <v>0.67671199999999998</v>
      </c>
      <c r="O160" s="22">
        <v>100</v>
      </c>
      <c r="P160" s="13">
        <f t="shared" si="20"/>
        <v>0.10481927710843374</v>
      </c>
      <c r="Q160" s="13">
        <f t="shared" si="21"/>
        <v>0.76771457831325307</v>
      </c>
      <c r="R160" s="16">
        <f t="shared" si="22"/>
        <v>28021.582108433737</v>
      </c>
      <c r="S160">
        <f t="shared" si="23"/>
        <v>19615.107475903613</v>
      </c>
    </row>
    <row r="161" spans="1:19" x14ac:dyDescent="0.3">
      <c r="A161" t="s">
        <v>182</v>
      </c>
      <c r="B161" t="s">
        <v>309</v>
      </c>
      <c r="C161" t="s">
        <v>332</v>
      </c>
      <c r="D161">
        <v>2</v>
      </c>
      <c r="E161" s="16">
        <v>1340</v>
      </c>
      <c r="F161" s="14">
        <v>38.9041</v>
      </c>
      <c r="G161" s="15">
        <f t="shared" si="16"/>
        <v>0.38904099999999997</v>
      </c>
      <c r="H161" s="18">
        <f t="shared" si="17"/>
        <v>6255.7792799999997</v>
      </c>
      <c r="I161" s="16">
        <v>135</v>
      </c>
      <c r="J161" s="16">
        <v>347</v>
      </c>
      <c r="K161" s="16">
        <v>278</v>
      </c>
      <c r="L161" s="16">
        <f t="shared" si="18"/>
        <v>212</v>
      </c>
      <c r="M161" s="20">
        <f t="shared" si="19"/>
        <v>0.63962264150943393</v>
      </c>
      <c r="N161" s="19">
        <v>0.38904099999999997</v>
      </c>
      <c r="O161" s="22">
        <v>100</v>
      </c>
      <c r="P161" s="13">
        <f t="shared" si="20"/>
        <v>-3.2075471698113207E-2</v>
      </c>
      <c r="Q161" s="13">
        <f t="shared" si="21"/>
        <v>0.87609415094339627</v>
      </c>
      <c r="R161" s="16">
        <f t="shared" si="22"/>
        <v>31977.436509433963</v>
      </c>
      <c r="S161">
        <f t="shared" si="23"/>
        <v>22384.205556603774</v>
      </c>
    </row>
    <row r="162" spans="1:19" x14ac:dyDescent="0.3">
      <c r="A162" t="s">
        <v>183</v>
      </c>
      <c r="B162" t="s">
        <v>310</v>
      </c>
      <c r="C162" t="s">
        <v>331</v>
      </c>
      <c r="D162">
        <v>1</v>
      </c>
      <c r="E162" s="16">
        <v>1150</v>
      </c>
      <c r="F162" s="14">
        <v>57.534199999999998</v>
      </c>
      <c r="G162" s="15">
        <f t="shared" si="16"/>
        <v>0.57534200000000002</v>
      </c>
      <c r="H162" s="18">
        <f t="shared" si="17"/>
        <v>7939.7196000000004</v>
      </c>
      <c r="I162" s="16">
        <v>80</v>
      </c>
      <c r="J162" s="16">
        <v>267</v>
      </c>
      <c r="K162" s="16">
        <v>183</v>
      </c>
      <c r="L162" s="16">
        <f t="shared" si="18"/>
        <v>187</v>
      </c>
      <c r="M162" s="20">
        <f t="shared" si="19"/>
        <v>0.54064171122994653</v>
      </c>
      <c r="N162" s="19">
        <v>0.57534200000000002</v>
      </c>
      <c r="O162" s="22">
        <v>100</v>
      </c>
      <c r="P162" s="13">
        <f t="shared" si="20"/>
        <v>0.1855614973262032</v>
      </c>
      <c r="Q162" s="13">
        <f t="shared" si="21"/>
        <v>0.70379096256684492</v>
      </c>
      <c r="R162" s="16">
        <f t="shared" si="22"/>
        <v>25688.370133689841</v>
      </c>
      <c r="S162">
        <f t="shared" si="23"/>
        <v>17981.859093582887</v>
      </c>
    </row>
    <row r="163" spans="1:19" x14ac:dyDescent="0.3">
      <c r="A163" t="s">
        <v>184</v>
      </c>
      <c r="B163" t="s">
        <v>310</v>
      </c>
      <c r="C163" t="s">
        <v>331</v>
      </c>
      <c r="D163">
        <v>2</v>
      </c>
      <c r="E163" s="16">
        <v>2000</v>
      </c>
      <c r="F163" s="14">
        <v>31.232900000000001</v>
      </c>
      <c r="G163" s="15">
        <f t="shared" si="16"/>
        <v>0.31232900000000002</v>
      </c>
      <c r="H163" s="18">
        <f t="shared" si="17"/>
        <v>7495.8960000000006</v>
      </c>
      <c r="I163" s="16">
        <v>160</v>
      </c>
      <c r="J163" s="16">
        <v>323</v>
      </c>
      <c r="K163" s="16">
        <v>237</v>
      </c>
      <c r="L163" s="16">
        <f t="shared" si="18"/>
        <v>163</v>
      </c>
      <c r="M163" s="20">
        <f t="shared" si="19"/>
        <v>0.47791411042944787</v>
      </c>
      <c r="N163" s="19">
        <v>0.31232900000000002</v>
      </c>
      <c r="O163" s="22">
        <v>100</v>
      </c>
      <c r="P163" s="13">
        <f t="shared" si="20"/>
        <v>-0.19447852760736195</v>
      </c>
      <c r="Q163" s="13">
        <f t="shared" si="21"/>
        <v>1.0046686503067486</v>
      </c>
      <c r="R163" s="16">
        <f t="shared" si="22"/>
        <v>36670.405736196321</v>
      </c>
      <c r="S163">
        <f t="shared" si="23"/>
        <v>25669.284015337424</v>
      </c>
    </row>
    <row r="164" spans="1:19" x14ac:dyDescent="0.3">
      <c r="A164" t="s">
        <v>185</v>
      </c>
      <c r="B164" t="s">
        <v>310</v>
      </c>
      <c r="C164" t="s">
        <v>332</v>
      </c>
      <c r="D164">
        <v>1</v>
      </c>
      <c r="E164" s="16">
        <v>1600</v>
      </c>
      <c r="F164" s="14">
        <v>45.205500000000001</v>
      </c>
      <c r="G164" s="15">
        <f t="shared" si="16"/>
        <v>0.45205499999999998</v>
      </c>
      <c r="H164" s="18">
        <f t="shared" si="17"/>
        <v>8679.4560000000001</v>
      </c>
      <c r="I164" s="16">
        <v>225</v>
      </c>
      <c r="J164" s="16">
        <v>406</v>
      </c>
      <c r="K164" s="16">
        <v>297</v>
      </c>
      <c r="L164" s="16">
        <f t="shared" si="18"/>
        <v>181</v>
      </c>
      <c r="M164" s="20">
        <f t="shared" si="19"/>
        <v>0.41823204419889504</v>
      </c>
      <c r="N164" s="19">
        <v>0.45205499999999998</v>
      </c>
      <c r="O164" s="22">
        <v>100</v>
      </c>
      <c r="P164" s="13">
        <f t="shared" si="20"/>
        <v>-0.45248618784530387</v>
      </c>
      <c r="Q164" s="13">
        <f t="shared" si="21"/>
        <v>1.2089333149171271</v>
      </c>
      <c r="R164" s="16">
        <f t="shared" si="22"/>
        <v>44126.065994475139</v>
      </c>
      <c r="S164">
        <f t="shared" si="23"/>
        <v>30888.246196132593</v>
      </c>
    </row>
    <row r="165" spans="1:19" x14ac:dyDescent="0.3">
      <c r="A165" t="s">
        <v>186</v>
      </c>
      <c r="B165" t="s">
        <v>310</v>
      </c>
      <c r="C165" t="s">
        <v>332</v>
      </c>
      <c r="D165">
        <v>2</v>
      </c>
      <c r="E165" s="16">
        <v>2150</v>
      </c>
      <c r="F165" s="14">
        <v>53.150700000000001</v>
      </c>
      <c r="G165" s="15">
        <f t="shared" si="16"/>
        <v>0.53150699999999995</v>
      </c>
      <c r="H165" s="18">
        <f t="shared" si="17"/>
        <v>13712.880599999999</v>
      </c>
      <c r="I165" s="16">
        <v>170</v>
      </c>
      <c r="J165" s="16">
        <v>447</v>
      </c>
      <c r="K165" s="16">
        <v>360</v>
      </c>
      <c r="L165" s="16">
        <f t="shared" si="18"/>
        <v>277</v>
      </c>
      <c r="M165" s="20">
        <f t="shared" si="19"/>
        <v>0.64873646209386282</v>
      </c>
      <c r="N165" s="19">
        <v>0.53150699999999995</v>
      </c>
      <c r="O165" s="22">
        <v>100</v>
      </c>
      <c r="P165" s="13">
        <f t="shared" si="20"/>
        <v>-0.10216606498194945</v>
      </c>
      <c r="Q165" s="13">
        <f t="shared" si="21"/>
        <v>0.93158487364620934</v>
      </c>
      <c r="R165" s="16">
        <f t="shared" si="22"/>
        <v>34002.847888086639</v>
      </c>
      <c r="S165">
        <f t="shared" si="23"/>
        <v>23801.993521660646</v>
      </c>
    </row>
    <row r="166" spans="1:19" x14ac:dyDescent="0.3">
      <c r="A166" t="s">
        <v>187</v>
      </c>
      <c r="B166" t="s">
        <v>311</v>
      </c>
      <c r="C166" t="s">
        <v>331</v>
      </c>
      <c r="D166">
        <v>1</v>
      </c>
      <c r="E166" s="16">
        <v>1600</v>
      </c>
      <c r="F166" s="14">
        <v>53.9726</v>
      </c>
      <c r="G166" s="15">
        <f t="shared" si="16"/>
        <v>0.53972600000000004</v>
      </c>
      <c r="H166" s="18">
        <f t="shared" si="17"/>
        <v>10362.7392</v>
      </c>
      <c r="I166" s="16">
        <v>94</v>
      </c>
      <c r="J166" s="16">
        <v>411</v>
      </c>
      <c r="K166" s="16">
        <v>209</v>
      </c>
      <c r="L166" s="16">
        <f t="shared" si="18"/>
        <v>317</v>
      </c>
      <c r="M166" s="20">
        <f t="shared" si="19"/>
        <v>0.39022082018927445</v>
      </c>
      <c r="N166" s="19">
        <v>0.53972600000000004</v>
      </c>
      <c r="O166" s="22">
        <v>100</v>
      </c>
      <c r="P166" s="13">
        <f t="shared" si="20"/>
        <v>0.11514195583596215</v>
      </c>
      <c r="Q166" s="13">
        <f t="shared" si="21"/>
        <v>0.75954211356466872</v>
      </c>
      <c r="R166" s="16">
        <f t="shared" si="22"/>
        <v>27723.287145110407</v>
      </c>
      <c r="S166">
        <f t="shared" si="23"/>
        <v>19406.301001577285</v>
      </c>
    </row>
    <row r="167" spans="1:19" x14ac:dyDescent="0.3">
      <c r="A167" t="s">
        <v>188</v>
      </c>
      <c r="B167" t="s">
        <v>311</v>
      </c>
      <c r="C167" t="s">
        <v>331</v>
      </c>
      <c r="D167">
        <v>2</v>
      </c>
      <c r="E167" s="16">
        <v>2100</v>
      </c>
      <c r="F167" s="14">
        <v>40.274000000000001</v>
      </c>
      <c r="G167" s="15">
        <f t="shared" si="16"/>
        <v>0.40273999999999999</v>
      </c>
      <c r="H167" s="18">
        <f t="shared" si="17"/>
        <v>10149.047999999999</v>
      </c>
      <c r="I167" s="16">
        <v>130</v>
      </c>
      <c r="J167" s="16">
        <v>438</v>
      </c>
      <c r="K167" s="16">
        <v>265</v>
      </c>
      <c r="L167" s="16">
        <f t="shared" si="18"/>
        <v>308</v>
      </c>
      <c r="M167" s="20">
        <f t="shared" si="19"/>
        <v>0.45064935064935063</v>
      </c>
      <c r="N167" s="19">
        <v>0.40273999999999999</v>
      </c>
      <c r="O167" s="22">
        <v>100</v>
      </c>
      <c r="P167" s="13">
        <f t="shared" si="20"/>
        <v>2.2077922077922078E-2</v>
      </c>
      <c r="Q167" s="13">
        <f t="shared" si="21"/>
        <v>0.83322090909090907</v>
      </c>
      <c r="R167" s="16">
        <f t="shared" si="22"/>
        <v>30412.563181818183</v>
      </c>
      <c r="S167">
        <f t="shared" si="23"/>
        <v>21288.794227272727</v>
      </c>
    </row>
    <row r="168" spans="1:19" x14ac:dyDescent="0.3">
      <c r="A168" t="s">
        <v>189</v>
      </c>
      <c r="B168" t="s">
        <v>311</v>
      </c>
      <c r="C168" t="s">
        <v>332</v>
      </c>
      <c r="D168">
        <v>1</v>
      </c>
      <c r="E168" s="16">
        <v>1200</v>
      </c>
      <c r="F168" s="14">
        <v>40</v>
      </c>
      <c r="G168" s="15">
        <f t="shared" si="16"/>
        <v>0.4</v>
      </c>
      <c r="H168" s="18">
        <f t="shared" si="17"/>
        <v>5760</v>
      </c>
      <c r="I168" s="16">
        <v>162</v>
      </c>
      <c r="J168" s="16">
        <v>504</v>
      </c>
      <c r="K168" s="16">
        <v>435</v>
      </c>
      <c r="L168" s="16">
        <f t="shared" si="18"/>
        <v>342</v>
      </c>
      <c r="M168" s="20">
        <f t="shared" si="19"/>
        <v>0.73859649122807014</v>
      </c>
      <c r="N168" s="19">
        <v>0.4</v>
      </c>
      <c r="O168" s="22">
        <v>100</v>
      </c>
      <c r="P168" s="13">
        <f t="shared" si="20"/>
        <v>-4.502923976608187E-2</v>
      </c>
      <c r="Q168" s="13">
        <f t="shared" si="21"/>
        <v>0.886349649122807</v>
      </c>
      <c r="R168" s="16">
        <f t="shared" si="22"/>
        <v>32351.762192982456</v>
      </c>
      <c r="S168">
        <f t="shared" si="23"/>
        <v>22646.233535087718</v>
      </c>
    </row>
    <row r="169" spans="1:19" x14ac:dyDescent="0.3">
      <c r="A169" t="s">
        <v>190</v>
      </c>
      <c r="B169" t="s">
        <v>311</v>
      </c>
      <c r="C169" t="s">
        <v>332</v>
      </c>
      <c r="D169">
        <v>2</v>
      </c>
      <c r="E169" s="16">
        <v>2100</v>
      </c>
      <c r="F169" s="14">
        <v>43.0137</v>
      </c>
      <c r="G169" s="15">
        <f t="shared" si="16"/>
        <v>0.43013699999999999</v>
      </c>
      <c r="H169" s="18">
        <f t="shared" si="17"/>
        <v>10839.4524</v>
      </c>
      <c r="I169" s="16">
        <v>175</v>
      </c>
      <c r="J169" s="16">
        <v>755</v>
      </c>
      <c r="K169" s="16">
        <v>487</v>
      </c>
      <c r="L169" s="16">
        <f t="shared" si="18"/>
        <v>580</v>
      </c>
      <c r="M169" s="20">
        <f t="shared" si="19"/>
        <v>0.53034482758620693</v>
      </c>
      <c r="N169" s="19">
        <v>0.43013699999999999</v>
      </c>
      <c r="O169" s="22">
        <v>100</v>
      </c>
      <c r="P169" s="13">
        <f t="shared" si="20"/>
        <v>-3.4482758620689655E-3</v>
      </c>
      <c r="Q169" s="13">
        <f t="shared" si="21"/>
        <v>0.85343000000000002</v>
      </c>
      <c r="R169" s="16">
        <f t="shared" si="22"/>
        <v>31150.195</v>
      </c>
      <c r="S169">
        <f t="shared" si="23"/>
        <v>21805.136499999997</v>
      </c>
    </row>
    <row r="170" spans="1:19" x14ac:dyDescent="0.3">
      <c r="A170" t="s">
        <v>191</v>
      </c>
      <c r="B170" t="s">
        <v>312</v>
      </c>
      <c r="C170" t="s">
        <v>331</v>
      </c>
      <c r="D170">
        <v>2</v>
      </c>
      <c r="E170" s="16">
        <v>2500</v>
      </c>
      <c r="F170" s="14">
        <v>40.274000000000001</v>
      </c>
      <c r="G170" s="15">
        <f t="shared" si="16"/>
        <v>0.40273999999999999</v>
      </c>
      <c r="H170" s="18">
        <f t="shared" si="17"/>
        <v>12082.199999999999</v>
      </c>
      <c r="I170" s="16">
        <v>129</v>
      </c>
      <c r="J170" s="16">
        <v>431</v>
      </c>
      <c r="K170" s="16">
        <v>231</v>
      </c>
      <c r="L170" s="16">
        <f t="shared" si="18"/>
        <v>302</v>
      </c>
      <c r="M170" s="20">
        <f t="shared" si="19"/>
        <v>0.37019867549668872</v>
      </c>
      <c r="N170" s="19">
        <v>0.40273999999999999</v>
      </c>
      <c r="O170" s="22">
        <v>100</v>
      </c>
      <c r="P170" s="13">
        <f t="shared" si="20"/>
        <v>2.3178807947019868E-2</v>
      </c>
      <c r="Q170" s="13">
        <f t="shared" si="21"/>
        <v>0.83234933774834441</v>
      </c>
      <c r="R170" s="16">
        <f t="shared" si="22"/>
        <v>30380.750827814572</v>
      </c>
      <c r="S170">
        <f t="shared" si="23"/>
        <v>21266.525579470199</v>
      </c>
    </row>
    <row r="171" spans="1:19" x14ac:dyDescent="0.3">
      <c r="A171" t="s">
        <v>192</v>
      </c>
      <c r="B171" t="s">
        <v>269</v>
      </c>
      <c r="C171" t="s">
        <v>332</v>
      </c>
      <c r="D171">
        <v>2</v>
      </c>
      <c r="E171" s="16">
        <v>2000</v>
      </c>
      <c r="F171" s="14">
        <v>31.232900000000001</v>
      </c>
      <c r="G171" s="15">
        <f t="shared" si="16"/>
        <v>0.31232900000000002</v>
      </c>
      <c r="H171" s="18">
        <f t="shared" si="17"/>
        <v>7495.8960000000006</v>
      </c>
      <c r="I171" s="16">
        <v>97</v>
      </c>
      <c r="J171" s="16">
        <v>240</v>
      </c>
      <c r="K171" s="16">
        <v>199</v>
      </c>
      <c r="L171" s="16">
        <f t="shared" si="18"/>
        <v>143</v>
      </c>
      <c r="M171" s="20">
        <f t="shared" si="19"/>
        <v>0.67062937062937067</v>
      </c>
      <c r="N171" s="19">
        <v>0.31232900000000002</v>
      </c>
      <c r="O171" s="22">
        <v>100</v>
      </c>
      <c r="P171" s="13">
        <f t="shared" si="20"/>
        <v>0.11678321678321678</v>
      </c>
      <c r="Q171" s="13">
        <f t="shared" si="21"/>
        <v>0.75824272727272723</v>
      </c>
      <c r="R171" s="16">
        <f t="shared" si="22"/>
        <v>27675.859545454543</v>
      </c>
      <c r="S171">
        <f t="shared" si="23"/>
        <v>19373.101681818178</v>
      </c>
    </row>
    <row r="172" spans="1:19" x14ac:dyDescent="0.3">
      <c r="A172" t="s">
        <v>193</v>
      </c>
      <c r="B172" t="s">
        <v>312</v>
      </c>
      <c r="C172" t="s">
        <v>332</v>
      </c>
      <c r="D172">
        <v>1</v>
      </c>
      <c r="E172" s="16">
        <v>2500</v>
      </c>
      <c r="F172" s="14">
        <v>23.0137</v>
      </c>
      <c r="G172" s="15">
        <f t="shared" si="16"/>
        <v>0.23013700000000001</v>
      </c>
      <c r="H172" s="18">
        <f t="shared" si="17"/>
        <v>6904.1100000000006</v>
      </c>
      <c r="I172" s="16">
        <v>186</v>
      </c>
      <c r="J172" s="16">
        <v>578</v>
      </c>
      <c r="K172" s="16">
        <v>490</v>
      </c>
      <c r="L172" s="16">
        <f t="shared" si="18"/>
        <v>392</v>
      </c>
      <c r="M172" s="20">
        <f t="shared" si="19"/>
        <v>0.7204081632653061</v>
      </c>
      <c r="N172" s="19">
        <v>0.23013700000000001</v>
      </c>
      <c r="O172" s="22">
        <v>100</v>
      </c>
      <c r="P172" s="13">
        <f t="shared" si="20"/>
        <v>-7.5510204081632656E-2</v>
      </c>
      <c r="Q172" s="13">
        <f t="shared" si="21"/>
        <v>0.91048142857142855</v>
      </c>
      <c r="R172" s="16">
        <f t="shared" si="22"/>
        <v>33232.572142857141</v>
      </c>
      <c r="S172">
        <f t="shared" si="23"/>
        <v>23262.800499999998</v>
      </c>
    </row>
    <row r="173" spans="1:19" x14ac:dyDescent="0.3">
      <c r="A173" t="s">
        <v>194</v>
      </c>
      <c r="B173" t="s">
        <v>312</v>
      </c>
      <c r="C173" t="s">
        <v>332</v>
      </c>
      <c r="D173">
        <v>2</v>
      </c>
      <c r="E173" s="16">
        <v>2750</v>
      </c>
      <c r="F173" s="14">
        <v>60</v>
      </c>
      <c r="G173" s="15">
        <f t="shared" si="16"/>
        <v>0.6</v>
      </c>
      <c r="H173" s="18">
        <f t="shared" si="17"/>
        <v>19800</v>
      </c>
      <c r="I173" s="16">
        <v>188</v>
      </c>
      <c r="J173" s="16">
        <v>810</v>
      </c>
      <c r="K173" s="16">
        <v>538</v>
      </c>
      <c r="L173" s="16">
        <f t="shared" si="18"/>
        <v>622</v>
      </c>
      <c r="M173" s="20">
        <f t="shared" si="19"/>
        <v>0.5501607717041801</v>
      </c>
      <c r="N173" s="19">
        <v>0.6</v>
      </c>
      <c r="O173" s="22">
        <v>100</v>
      </c>
      <c r="P173" s="13">
        <f t="shared" si="20"/>
        <v>-1.3183279742765274E-2</v>
      </c>
      <c r="Q173" s="13">
        <f t="shared" si="21"/>
        <v>0.86113720257234727</v>
      </c>
      <c r="R173" s="16">
        <f t="shared" si="22"/>
        <v>31431.507893890674</v>
      </c>
      <c r="S173">
        <f t="shared" si="23"/>
        <v>22002.05552572347</v>
      </c>
    </row>
    <row r="174" spans="1:19" x14ac:dyDescent="0.3">
      <c r="A174" t="s">
        <v>195</v>
      </c>
      <c r="B174" t="s">
        <v>312</v>
      </c>
      <c r="C174" t="s">
        <v>331</v>
      </c>
      <c r="D174">
        <v>1</v>
      </c>
      <c r="E174" s="16">
        <v>1800</v>
      </c>
      <c r="F174" s="14">
        <v>23.287700000000001</v>
      </c>
      <c r="G174" s="15">
        <f t="shared" si="16"/>
        <v>0.232877</v>
      </c>
      <c r="H174" s="18">
        <f t="shared" si="17"/>
        <v>5030.1432000000004</v>
      </c>
      <c r="I174" s="16">
        <v>89</v>
      </c>
      <c r="J174" s="16">
        <v>390</v>
      </c>
      <c r="K174" s="16">
        <v>288</v>
      </c>
      <c r="L174" s="16">
        <f t="shared" si="18"/>
        <v>301</v>
      </c>
      <c r="M174" s="20">
        <f t="shared" si="19"/>
        <v>0.62890365448504981</v>
      </c>
      <c r="N174" s="19">
        <v>0.232877</v>
      </c>
      <c r="O174" s="22">
        <v>100</v>
      </c>
      <c r="P174" s="13">
        <f t="shared" si="20"/>
        <v>0.12923588039867109</v>
      </c>
      <c r="Q174" s="13">
        <f t="shared" si="21"/>
        <v>0.74838395348837206</v>
      </c>
      <c r="R174" s="16">
        <f t="shared" si="22"/>
        <v>27316.014302325581</v>
      </c>
      <c r="S174">
        <f t="shared" si="23"/>
        <v>19121.210011627903</v>
      </c>
    </row>
    <row r="175" spans="1:19" x14ac:dyDescent="0.3">
      <c r="A175" t="s">
        <v>196</v>
      </c>
      <c r="B175" t="s">
        <v>313</v>
      </c>
      <c r="C175" t="s">
        <v>331</v>
      </c>
      <c r="D175">
        <v>2</v>
      </c>
      <c r="E175" s="16">
        <v>3000</v>
      </c>
      <c r="F175" s="14">
        <v>40.821899999999999</v>
      </c>
      <c r="G175" s="15">
        <f t="shared" si="16"/>
        <v>0.408219</v>
      </c>
      <c r="H175" s="18">
        <f t="shared" si="17"/>
        <v>14695.884</v>
      </c>
      <c r="I175" s="16">
        <v>193</v>
      </c>
      <c r="J175" s="16">
        <v>648</v>
      </c>
      <c r="K175" s="16">
        <v>415</v>
      </c>
      <c r="L175" s="16">
        <f t="shared" si="18"/>
        <v>455</v>
      </c>
      <c r="M175" s="20">
        <f t="shared" si="19"/>
        <v>0.49032967032967034</v>
      </c>
      <c r="N175" s="19">
        <v>0.408219</v>
      </c>
      <c r="O175" s="22">
        <v>100</v>
      </c>
      <c r="P175" s="13">
        <f t="shared" si="20"/>
        <v>-6.3516483516483521E-2</v>
      </c>
      <c r="Q175" s="13">
        <f t="shared" si="21"/>
        <v>0.90098600000000006</v>
      </c>
      <c r="R175" s="16">
        <f t="shared" si="22"/>
        <v>32885.989000000001</v>
      </c>
      <c r="S175">
        <f t="shared" si="23"/>
        <v>23020.192299999999</v>
      </c>
    </row>
    <row r="176" spans="1:19" x14ac:dyDescent="0.3">
      <c r="A176" t="s">
        <v>197</v>
      </c>
      <c r="B176" t="s">
        <v>313</v>
      </c>
      <c r="C176" t="s">
        <v>332</v>
      </c>
      <c r="D176">
        <v>1</v>
      </c>
      <c r="E176" s="16">
        <v>2000</v>
      </c>
      <c r="F176" s="14">
        <v>32.602699999999999</v>
      </c>
      <c r="G176" s="15">
        <f t="shared" si="16"/>
        <v>0.32602700000000001</v>
      </c>
      <c r="H176" s="18">
        <f t="shared" si="17"/>
        <v>7824.6480000000001</v>
      </c>
      <c r="I176" s="16">
        <v>193</v>
      </c>
      <c r="J176" s="16">
        <v>600</v>
      </c>
      <c r="K176" s="16">
        <v>387</v>
      </c>
      <c r="L176" s="16">
        <f t="shared" si="18"/>
        <v>407</v>
      </c>
      <c r="M176" s="20">
        <f t="shared" si="19"/>
        <v>0.48132678132678131</v>
      </c>
      <c r="N176" s="19">
        <v>0.32602700000000001</v>
      </c>
      <c r="O176" s="22">
        <v>100</v>
      </c>
      <c r="P176" s="13">
        <f t="shared" si="20"/>
        <v>-8.2800982800982803E-2</v>
      </c>
      <c r="Q176" s="13">
        <f t="shared" si="21"/>
        <v>0.91625353808353815</v>
      </c>
      <c r="R176" s="16">
        <f t="shared" si="22"/>
        <v>33443.254140049139</v>
      </c>
      <c r="S176">
        <f t="shared" si="23"/>
        <v>23410.277898034397</v>
      </c>
    </row>
    <row r="177" spans="1:19" x14ac:dyDescent="0.3">
      <c r="A177" t="s">
        <v>198</v>
      </c>
      <c r="B177" t="s">
        <v>313</v>
      </c>
      <c r="C177" t="s">
        <v>332</v>
      </c>
      <c r="D177">
        <v>2</v>
      </c>
      <c r="E177" s="16">
        <v>2950</v>
      </c>
      <c r="F177" s="14">
        <v>38.9041</v>
      </c>
      <c r="G177" s="15">
        <f t="shared" si="16"/>
        <v>0.38904099999999997</v>
      </c>
      <c r="H177" s="18">
        <f t="shared" si="17"/>
        <v>13772.051399999998</v>
      </c>
      <c r="I177" s="16">
        <v>192</v>
      </c>
      <c r="J177" s="16">
        <v>829</v>
      </c>
      <c r="K177" s="16">
        <v>575</v>
      </c>
      <c r="L177" s="16">
        <f t="shared" si="18"/>
        <v>637</v>
      </c>
      <c r="M177" s="20">
        <f t="shared" si="19"/>
        <v>0.58100470957613815</v>
      </c>
      <c r="N177" s="19">
        <v>0.38904099999999997</v>
      </c>
      <c r="O177" s="22">
        <v>100</v>
      </c>
      <c r="P177" s="13">
        <f t="shared" si="20"/>
        <v>-1.554160125588697E-2</v>
      </c>
      <c r="Q177" s="13">
        <f t="shared" si="21"/>
        <v>0.86300428571428578</v>
      </c>
      <c r="R177" s="16">
        <f t="shared" si="22"/>
        <v>31499.65642857143</v>
      </c>
      <c r="S177">
        <f t="shared" si="23"/>
        <v>22049.7595</v>
      </c>
    </row>
    <row r="178" spans="1:19" x14ac:dyDescent="0.3">
      <c r="A178" t="s">
        <v>199</v>
      </c>
      <c r="B178" t="s">
        <v>313</v>
      </c>
      <c r="C178" t="s">
        <v>331</v>
      </c>
      <c r="D178">
        <v>1</v>
      </c>
      <c r="E178" s="16">
        <v>1700</v>
      </c>
      <c r="F178" s="14">
        <v>52.0548</v>
      </c>
      <c r="G178" s="15">
        <f t="shared" si="16"/>
        <v>0.52054800000000001</v>
      </c>
      <c r="H178" s="18">
        <f t="shared" si="17"/>
        <v>10619.1792</v>
      </c>
      <c r="I178" s="16">
        <v>98</v>
      </c>
      <c r="J178" s="16">
        <v>432</v>
      </c>
      <c r="K178" s="16">
        <v>228</v>
      </c>
      <c r="L178" s="16">
        <f t="shared" si="18"/>
        <v>334</v>
      </c>
      <c r="M178" s="20">
        <f t="shared" si="19"/>
        <v>0.41137724550898203</v>
      </c>
      <c r="N178" s="19">
        <v>0.52054800000000001</v>
      </c>
      <c r="O178" s="22">
        <v>100</v>
      </c>
      <c r="P178" s="13">
        <f t="shared" si="20"/>
        <v>0.10479041916167664</v>
      </c>
      <c r="Q178" s="13">
        <f t="shared" si="21"/>
        <v>0.76773742514970067</v>
      </c>
      <c r="R178" s="16">
        <f t="shared" si="22"/>
        <v>28022.416017964075</v>
      </c>
      <c r="S178">
        <f t="shared" si="23"/>
        <v>19615.691212574849</v>
      </c>
    </row>
    <row r="179" spans="1:19" x14ac:dyDescent="0.3">
      <c r="A179" t="s">
        <v>200</v>
      </c>
      <c r="B179" t="s">
        <v>314</v>
      </c>
      <c r="C179" t="s">
        <v>331</v>
      </c>
      <c r="D179">
        <v>1</v>
      </c>
      <c r="E179" s="16">
        <v>3000</v>
      </c>
      <c r="F179" s="14">
        <v>46.301400000000001</v>
      </c>
      <c r="G179" s="15">
        <f t="shared" si="16"/>
        <v>0.46301400000000004</v>
      </c>
      <c r="H179" s="18">
        <f t="shared" si="17"/>
        <v>16668.504000000001</v>
      </c>
      <c r="I179" s="16">
        <v>87</v>
      </c>
      <c r="J179" s="16">
        <v>512</v>
      </c>
      <c r="K179" s="16">
        <v>337</v>
      </c>
      <c r="L179" s="16">
        <f t="shared" si="18"/>
        <v>425</v>
      </c>
      <c r="M179" s="20">
        <f t="shared" si="19"/>
        <v>0.57058823529411762</v>
      </c>
      <c r="N179" s="19">
        <v>0.46301400000000004</v>
      </c>
      <c r="O179" s="22">
        <v>100</v>
      </c>
      <c r="P179" s="13">
        <f t="shared" si="20"/>
        <v>0.12447058823529412</v>
      </c>
      <c r="Q179" s="13">
        <f t="shared" si="21"/>
        <v>0.75215663529411769</v>
      </c>
      <c r="R179" s="16">
        <f t="shared" si="22"/>
        <v>27453.717188235296</v>
      </c>
      <c r="S179">
        <f t="shared" si="23"/>
        <v>19217.602031764705</v>
      </c>
    </row>
    <row r="180" spans="1:19" x14ac:dyDescent="0.3">
      <c r="A180" t="s">
        <v>201</v>
      </c>
      <c r="B180" t="s">
        <v>314</v>
      </c>
      <c r="C180" t="s">
        <v>331</v>
      </c>
      <c r="D180">
        <v>2</v>
      </c>
      <c r="E180" s="16">
        <v>3200</v>
      </c>
      <c r="F180" s="14">
        <v>67.9452</v>
      </c>
      <c r="G180" s="15">
        <f t="shared" si="16"/>
        <v>0.67945199999999994</v>
      </c>
      <c r="H180" s="18">
        <f t="shared" si="17"/>
        <v>26090.956799999996</v>
      </c>
      <c r="I180" s="16">
        <v>154</v>
      </c>
      <c r="J180" s="16">
        <v>480</v>
      </c>
      <c r="K180" s="16">
        <v>154</v>
      </c>
      <c r="L180" s="16">
        <f t="shared" si="18"/>
        <v>326</v>
      </c>
      <c r="M180" s="20">
        <f t="shared" si="19"/>
        <v>0.1</v>
      </c>
      <c r="N180" s="19">
        <v>0.67945199999999994</v>
      </c>
      <c r="O180" s="22">
        <v>100</v>
      </c>
      <c r="P180" s="13">
        <f t="shared" si="20"/>
        <v>-3.2515337423312883E-2</v>
      </c>
      <c r="Q180" s="13">
        <f t="shared" si="21"/>
        <v>0.8764423926380368</v>
      </c>
      <c r="R180" s="16">
        <f t="shared" si="22"/>
        <v>31990.147331288343</v>
      </c>
      <c r="S180">
        <f t="shared" si="23"/>
        <v>22393.10313190184</v>
      </c>
    </row>
    <row r="181" spans="1:19" x14ac:dyDescent="0.3">
      <c r="A181" t="s">
        <v>202</v>
      </c>
      <c r="B181" t="s">
        <v>315</v>
      </c>
      <c r="C181" t="s">
        <v>331</v>
      </c>
      <c r="D181">
        <v>2</v>
      </c>
      <c r="E181" s="16">
        <v>4500</v>
      </c>
      <c r="F181" s="14">
        <v>68.219200000000001</v>
      </c>
      <c r="G181" s="15">
        <f t="shared" si="16"/>
        <v>0.68219200000000002</v>
      </c>
      <c r="H181" s="18">
        <f t="shared" si="17"/>
        <v>36838.368000000002</v>
      </c>
      <c r="I181" s="16">
        <v>273</v>
      </c>
      <c r="J181" s="16">
        <v>853</v>
      </c>
      <c r="K181" s="16">
        <v>432</v>
      </c>
      <c r="L181" s="16">
        <f t="shared" si="18"/>
        <v>580</v>
      </c>
      <c r="M181" s="20">
        <f t="shared" si="19"/>
        <v>0.31931034482758619</v>
      </c>
      <c r="N181" s="19">
        <v>0.68219200000000002</v>
      </c>
      <c r="O181" s="22">
        <v>100</v>
      </c>
      <c r="P181" s="13">
        <f t="shared" si="20"/>
        <v>-0.13862068965517241</v>
      </c>
      <c r="Q181" s="13">
        <f t="shared" si="21"/>
        <v>0.96044600000000002</v>
      </c>
      <c r="R181" s="16">
        <f t="shared" si="22"/>
        <v>35056.279000000002</v>
      </c>
      <c r="S181">
        <f t="shared" si="23"/>
        <v>24539.3953</v>
      </c>
    </row>
    <row r="182" spans="1:19" x14ac:dyDescent="0.3">
      <c r="A182" t="s">
        <v>203</v>
      </c>
      <c r="B182" t="s">
        <v>269</v>
      </c>
      <c r="C182" t="s">
        <v>331</v>
      </c>
      <c r="D182">
        <v>1</v>
      </c>
      <c r="E182" s="16">
        <v>800</v>
      </c>
      <c r="F182" s="14">
        <v>56.9863</v>
      </c>
      <c r="G182" s="15">
        <f t="shared" si="16"/>
        <v>0.56986300000000001</v>
      </c>
      <c r="H182" s="18">
        <f t="shared" si="17"/>
        <v>5470.6848</v>
      </c>
      <c r="I182" s="16">
        <v>53</v>
      </c>
      <c r="J182" s="16">
        <v>188</v>
      </c>
      <c r="K182" s="16">
        <v>104</v>
      </c>
      <c r="L182" s="16">
        <f t="shared" si="18"/>
        <v>135</v>
      </c>
      <c r="M182" s="20">
        <f t="shared" si="19"/>
        <v>0.4022222222222222</v>
      </c>
      <c r="N182" s="19">
        <v>0.56986300000000001</v>
      </c>
      <c r="O182" s="22">
        <v>100</v>
      </c>
      <c r="P182" s="13">
        <f t="shared" si="20"/>
        <v>0.37851851851851853</v>
      </c>
      <c r="Q182" s="13">
        <f t="shared" si="21"/>
        <v>0.55102688888888895</v>
      </c>
      <c r="R182" s="16">
        <f t="shared" si="22"/>
        <v>20112.481444444446</v>
      </c>
      <c r="S182">
        <f t="shared" si="23"/>
        <v>14078.73701111111</v>
      </c>
    </row>
    <row r="183" spans="1:19" x14ac:dyDescent="0.3">
      <c r="A183" t="s">
        <v>204</v>
      </c>
      <c r="B183" t="s">
        <v>315</v>
      </c>
      <c r="C183" t="s">
        <v>332</v>
      </c>
      <c r="D183">
        <v>1</v>
      </c>
      <c r="E183" s="16">
        <v>4500</v>
      </c>
      <c r="F183" s="14">
        <v>86.849299999999999</v>
      </c>
      <c r="G183" s="15">
        <f t="shared" si="16"/>
        <v>0.86849299999999996</v>
      </c>
      <c r="H183" s="18">
        <f t="shared" si="17"/>
        <v>46898.621999999996</v>
      </c>
      <c r="I183" s="16">
        <v>103</v>
      </c>
      <c r="J183" s="16">
        <v>807</v>
      </c>
      <c r="K183" s="16">
        <v>200</v>
      </c>
      <c r="L183" s="16">
        <f t="shared" si="18"/>
        <v>704</v>
      </c>
      <c r="M183" s="20">
        <f t="shared" si="19"/>
        <v>0.21022727272727273</v>
      </c>
      <c r="N183" s="19">
        <v>0.86849299999999996</v>
      </c>
      <c r="O183" s="22">
        <v>100</v>
      </c>
      <c r="P183" s="13">
        <f t="shared" si="20"/>
        <v>9.6590909090909088E-2</v>
      </c>
      <c r="Q183" s="13">
        <f t="shared" si="21"/>
        <v>0.77422897727272733</v>
      </c>
      <c r="R183" s="16">
        <f t="shared" si="22"/>
        <v>28259.357670454548</v>
      </c>
      <c r="S183">
        <f t="shared" si="23"/>
        <v>19781.550369318182</v>
      </c>
    </row>
    <row r="184" spans="1:19" x14ac:dyDescent="0.3">
      <c r="A184" t="s">
        <v>205</v>
      </c>
      <c r="B184" t="s">
        <v>315</v>
      </c>
      <c r="C184" t="s">
        <v>332</v>
      </c>
      <c r="D184">
        <v>2</v>
      </c>
      <c r="E184" s="16">
        <v>5500</v>
      </c>
      <c r="F184" s="14">
        <v>52.328800000000001</v>
      </c>
      <c r="G184" s="15">
        <f t="shared" si="16"/>
        <v>0.52328799999999998</v>
      </c>
      <c r="H184" s="18">
        <f t="shared" si="17"/>
        <v>34537.008000000002</v>
      </c>
      <c r="I184" s="16">
        <v>200</v>
      </c>
      <c r="J184" s="16">
        <v>770</v>
      </c>
      <c r="K184" s="16">
        <v>428</v>
      </c>
      <c r="L184" s="16">
        <f t="shared" si="18"/>
        <v>570</v>
      </c>
      <c r="M184" s="20">
        <f t="shared" si="19"/>
        <v>0.42</v>
      </c>
      <c r="N184" s="19">
        <v>0.52328799999999998</v>
      </c>
      <c r="O184" s="22">
        <v>100</v>
      </c>
      <c r="P184" s="13">
        <f t="shared" si="20"/>
        <v>-4.0350877192982457E-2</v>
      </c>
      <c r="Q184" s="13">
        <f t="shared" si="21"/>
        <v>0.88264578947368422</v>
      </c>
      <c r="R184" s="16">
        <f t="shared" si="22"/>
        <v>32216.571315789475</v>
      </c>
      <c r="S184">
        <f t="shared" si="23"/>
        <v>22551.599921052632</v>
      </c>
    </row>
    <row r="185" spans="1:19" x14ac:dyDescent="0.3">
      <c r="A185" t="s">
        <v>206</v>
      </c>
      <c r="B185" t="s">
        <v>315</v>
      </c>
      <c r="C185" t="s">
        <v>331</v>
      </c>
      <c r="D185">
        <v>1</v>
      </c>
      <c r="E185" s="16">
        <v>3500</v>
      </c>
      <c r="F185" s="14">
        <v>46.0274</v>
      </c>
      <c r="G185" s="15">
        <f t="shared" si="16"/>
        <v>0.46027400000000002</v>
      </c>
      <c r="H185" s="18">
        <f t="shared" si="17"/>
        <v>19331.508000000002</v>
      </c>
      <c r="I185" s="16">
        <v>151</v>
      </c>
      <c r="J185" s="16">
        <v>890</v>
      </c>
      <c r="K185" s="16">
        <v>576</v>
      </c>
      <c r="L185" s="16">
        <f t="shared" si="18"/>
        <v>739</v>
      </c>
      <c r="M185" s="20">
        <f t="shared" si="19"/>
        <v>0.56008119079837615</v>
      </c>
      <c r="N185" s="19">
        <v>0.46027400000000002</v>
      </c>
      <c r="O185" s="22">
        <v>100</v>
      </c>
      <c r="P185" s="13">
        <f t="shared" si="20"/>
        <v>4.4790257104194861E-2</v>
      </c>
      <c r="Q185" s="13">
        <f t="shared" si="21"/>
        <v>0.81523955345060894</v>
      </c>
      <c r="R185" s="16">
        <f t="shared" si="22"/>
        <v>29756.243700947227</v>
      </c>
      <c r="S185">
        <f t="shared" si="23"/>
        <v>20829.370590663057</v>
      </c>
    </row>
    <row r="186" spans="1:19" x14ac:dyDescent="0.3">
      <c r="A186" t="s">
        <v>207</v>
      </c>
      <c r="B186" t="s">
        <v>316</v>
      </c>
      <c r="C186" t="s">
        <v>331</v>
      </c>
      <c r="D186">
        <v>2</v>
      </c>
      <c r="E186" s="16">
        <v>4000</v>
      </c>
      <c r="F186" s="14">
        <v>35.342500000000001</v>
      </c>
      <c r="G186" s="15">
        <f t="shared" si="16"/>
        <v>0.35342499999999999</v>
      </c>
      <c r="H186" s="18">
        <f t="shared" si="17"/>
        <v>16964.399999999998</v>
      </c>
      <c r="I186" s="16">
        <v>218</v>
      </c>
      <c r="J186" s="16">
        <v>681</v>
      </c>
      <c r="K186" s="16">
        <v>560</v>
      </c>
      <c r="L186" s="16">
        <f t="shared" si="18"/>
        <v>463</v>
      </c>
      <c r="M186" s="20">
        <f t="shared" si="19"/>
        <v>0.69092872570194386</v>
      </c>
      <c r="N186" s="19">
        <v>0.35342499999999999</v>
      </c>
      <c r="O186" s="22">
        <v>100</v>
      </c>
      <c r="P186" s="13">
        <f t="shared" si="20"/>
        <v>-0.10388768898488121</v>
      </c>
      <c r="Q186" s="13">
        <f t="shared" si="21"/>
        <v>0.93294788336933043</v>
      </c>
      <c r="R186" s="16">
        <f t="shared" si="22"/>
        <v>34052.597742980564</v>
      </c>
      <c r="S186">
        <f t="shared" si="23"/>
        <v>23836.818420086394</v>
      </c>
    </row>
    <row r="187" spans="1:19" x14ac:dyDescent="0.3">
      <c r="A187" t="s">
        <v>208</v>
      </c>
      <c r="B187" t="s">
        <v>316</v>
      </c>
      <c r="C187" t="s">
        <v>331</v>
      </c>
      <c r="D187">
        <v>1</v>
      </c>
      <c r="E187" s="16">
        <v>3000</v>
      </c>
      <c r="F187" s="14">
        <v>49.863</v>
      </c>
      <c r="G187" s="15">
        <f t="shared" si="16"/>
        <v>0.49863000000000002</v>
      </c>
      <c r="H187" s="18">
        <f t="shared" si="17"/>
        <v>17950.68</v>
      </c>
      <c r="I187" s="16">
        <v>109</v>
      </c>
      <c r="J187" s="16">
        <v>640</v>
      </c>
      <c r="K187" s="16">
        <v>288</v>
      </c>
      <c r="L187" s="16">
        <f t="shared" si="18"/>
        <v>531</v>
      </c>
      <c r="M187" s="20">
        <f t="shared" si="19"/>
        <v>0.36967984934086628</v>
      </c>
      <c r="N187" s="19">
        <v>0.49863000000000002</v>
      </c>
      <c r="O187" s="22">
        <v>100</v>
      </c>
      <c r="P187" s="13">
        <f t="shared" si="20"/>
        <v>8.6440677966101692E-2</v>
      </c>
      <c r="Q187" s="13">
        <f t="shared" si="21"/>
        <v>0.78226491525423736</v>
      </c>
      <c r="R187" s="16">
        <f t="shared" si="22"/>
        <v>28552.669406779663</v>
      </c>
      <c r="S187">
        <f t="shared" si="23"/>
        <v>19986.868584745764</v>
      </c>
    </row>
    <row r="188" spans="1:19" x14ac:dyDescent="0.3">
      <c r="A188" t="s">
        <v>209</v>
      </c>
      <c r="B188" t="s">
        <v>317</v>
      </c>
      <c r="C188" t="s">
        <v>331</v>
      </c>
      <c r="D188">
        <v>2</v>
      </c>
      <c r="E188" s="16">
        <v>5600</v>
      </c>
      <c r="F188" s="14">
        <v>51.506799999999998</v>
      </c>
      <c r="G188" s="15">
        <f t="shared" si="16"/>
        <v>0.51506799999999997</v>
      </c>
      <c r="H188" s="18">
        <f t="shared" si="17"/>
        <v>34612.569599999995</v>
      </c>
      <c r="I188" s="16">
        <v>196</v>
      </c>
      <c r="J188" s="16">
        <v>612</v>
      </c>
      <c r="K188" s="16">
        <v>373</v>
      </c>
      <c r="L188" s="16">
        <f t="shared" si="18"/>
        <v>416</v>
      </c>
      <c r="M188" s="20">
        <f t="shared" si="19"/>
        <v>0.44038461538461537</v>
      </c>
      <c r="N188" s="19">
        <v>0.51506799999999997</v>
      </c>
      <c r="O188" s="22">
        <v>100</v>
      </c>
      <c r="P188" s="13">
        <f t="shared" si="20"/>
        <v>-8.461538461538462E-2</v>
      </c>
      <c r="Q188" s="13">
        <f t="shared" si="21"/>
        <v>0.91769000000000001</v>
      </c>
      <c r="R188" s="16">
        <f t="shared" si="22"/>
        <v>33495.684999999998</v>
      </c>
      <c r="S188">
        <f t="shared" si="23"/>
        <v>23446.979499999998</v>
      </c>
    </row>
    <row r="189" spans="1:19" x14ac:dyDescent="0.3">
      <c r="A189" t="s">
        <v>210</v>
      </c>
      <c r="B189" t="s">
        <v>317</v>
      </c>
      <c r="C189" t="s">
        <v>332</v>
      </c>
      <c r="D189">
        <v>1</v>
      </c>
      <c r="E189" s="16">
        <v>3200</v>
      </c>
      <c r="F189" s="14">
        <v>87.1233</v>
      </c>
      <c r="G189" s="15">
        <f t="shared" si="16"/>
        <v>0.87123300000000004</v>
      </c>
      <c r="H189" s="18">
        <f t="shared" si="17"/>
        <v>33455.347200000004</v>
      </c>
      <c r="I189" s="16">
        <v>165</v>
      </c>
      <c r="J189" s="16">
        <v>1296</v>
      </c>
      <c r="K189" s="16">
        <v>420</v>
      </c>
      <c r="L189" s="16">
        <f t="shared" si="18"/>
        <v>1131</v>
      </c>
      <c r="M189" s="20">
        <f t="shared" si="19"/>
        <v>0.28037135278514591</v>
      </c>
      <c r="N189" s="19">
        <v>0.87123300000000004</v>
      </c>
      <c r="O189" s="22">
        <v>100</v>
      </c>
      <c r="P189" s="13">
        <f t="shared" si="20"/>
        <v>5.4022988505747126E-2</v>
      </c>
      <c r="Q189" s="13">
        <f t="shared" si="21"/>
        <v>0.80793000000000004</v>
      </c>
      <c r="R189" s="16">
        <f t="shared" si="22"/>
        <v>29489.445</v>
      </c>
      <c r="S189">
        <f t="shared" si="23"/>
        <v>20642.611499999999</v>
      </c>
    </row>
    <row r="190" spans="1:19" x14ac:dyDescent="0.3">
      <c r="A190" t="s">
        <v>211</v>
      </c>
      <c r="B190" t="s">
        <v>317</v>
      </c>
      <c r="C190" t="s">
        <v>332</v>
      </c>
      <c r="D190">
        <v>2</v>
      </c>
      <c r="E190" s="16">
        <v>3500</v>
      </c>
      <c r="F190" s="14">
        <v>50.684899999999999</v>
      </c>
      <c r="G190" s="15">
        <f t="shared" si="16"/>
        <v>0.50684899999999999</v>
      </c>
      <c r="H190" s="18">
        <f t="shared" si="17"/>
        <v>21287.657999999999</v>
      </c>
      <c r="I190" s="16">
        <v>268</v>
      </c>
      <c r="J190" s="16">
        <v>1032</v>
      </c>
      <c r="K190" s="16">
        <v>593</v>
      </c>
      <c r="L190" s="16">
        <f t="shared" si="18"/>
        <v>764</v>
      </c>
      <c r="M190" s="20">
        <f t="shared" si="19"/>
        <v>0.44031413612565445</v>
      </c>
      <c r="N190" s="19">
        <v>0.50684899999999999</v>
      </c>
      <c r="O190" s="22">
        <v>100</v>
      </c>
      <c r="P190" s="13">
        <f t="shared" si="20"/>
        <v>-7.5916230366492143E-2</v>
      </c>
      <c r="Q190" s="13">
        <f t="shared" si="21"/>
        <v>0.9108028795811518</v>
      </c>
      <c r="R190" s="16">
        <f t="shared" si="22"/>
        <v>33244.305104712039</v>
      </c>
      <c r="S190">
        <f t="shared" si="23"/>
        <v>23271.013573298427</v>
      </c>
    </row>
    <row r="191" spans="1:19" x14ac:dyDescent="0.3">
      <c r="A191" t="s">
        <v>212</v>
      </c>
      <c r="B191" t="s">
        <v>317</v>
      </c>
      <c r="C191" t="s">
        <v>331</v>
      </c>
      <c r="D191">
        <v>1</v>
      </c>
      <c r="E191" s="16">
        <v>3400</v>
      </c>
      <c r="F191" s="14">
        <v>28.219200000000001</v>
      </c>
      <c r="G191" s="15">
        <f t="shared" si="16"/>
        <v>0.282192</v>
      </c>
      <c r="H191" s="18">
        <f t="shared" si="17"/>
        <v>11513.4336</v>
      </c>
      <c r="I191" s="16">
        <v>106</v>
      </c>
      <c r="J191" s="16">
        <v>624</v>
      </c>
      <c r="K191" s="16">
        <v>436</v>
      </c>
      <c r="L191" s="16">
        <f t="shared" si="18"/>
        <v>518</v>
      </c>
      <c r="M191" s="20">
        <f t="shared" si="19"/>
        <v>0.60965250965250961</v>
      </c>
      <c r="N191" s="19">
        <v>0.282192</v>
      </c>
      <c r="O191" s="22">
        <v>100</v>
      </c>
      <c r="P191" s="13">
        <f t="shared" si="20"/>
        <v>9.0733590733590733E-2</v>
      </c>
      <c r="Q191" s="13">
        <f t="shared" si="21"/>
        <v>0.77886621621621621</v>
      </c>
      <c r="R191" s="16">
        <f t="shared" si="22"/>
        <v>28428.616891891892</v>
      </c>
      <c r="S191">
        <f t="shared" si="23"/>
        <v>19900.031824324324</v>
      </c>
    </row>
    <row r="192" spans="1:19" x14ac:dyDescent="0.3">
      <c r="A192" t="s">
        <v>213</v>
      </c>
      <c r="B192" t="s">
        <v>318</v>
      </c>
      <c r="C192" t="s">
        <v>331</v>
      </c>
      <c r="D192">
        <v>2</v>
      </c>
      <c r="E192" s="16">
        <v>4200</v>
      </c>
      <c r="F192" s="14">
        <v>54.246600000000001</v>
      </c>
      <c r="G192" s="15">
        <f t="shared" si="16"/>
        <v>0.542466</v>
      </c>
      <c r="H192" s="18">
        <f t="shared" si="17"/>
        <v>27340.286400000001</v>
      </c>
      <c r="I192" s="16">
        <v>210</v>
      </c>
      <c r="J192" s="16">
        <v>654</v>
      </c>
      <c r="K192" s="16">
        <v>426</v>
      </c>
      <c r="L192" s="16">
        <f t="shared" si="18"/>
        <v>444</v>
      </c>
      <c r="M192" s="20">
        <f t="shared" si="19"/>
        <v>0.48918918918918919</v>
      </c>
      <c r="N192" s="19">
        <v>0.542466</v>
      </c>
      <c r="O192" s="22">
        <v>100</v>
      </c>
      <c r="P192" s="13">
        <f t="shared" si="20"/>
        <v>-9.8198198198198194E-2</v>
      </c>
      <c r="Q192" s="13">
        <f t="shared" si="21"/>
        <v>0.92844351351351351</v>
      </c>
      <c r="R192" s="16">
        <f t="shared" si="22"/>
        <v>33888.188243243239</v>
      </c>
      <c r="S192">
        <f t="shared" si="23"/>
        <v>23721.731770270268</v>
      </c>
    </row>
    <row r="193" spans="1:19" x14ac:dyDescent="0.3">
      <c r="A193" t="s">
        <v>214</v>
      </c>
      <c r="B193" t="s">
        <v>319</v>
      </c>
      <c r="C193" t="s">
        <v>331</v>
      </c>
      <c r="D193">
        <v>2</v>
      </c>
      <c r="E193" s="16">
        <v>1100</v>
      </c>
      <c r="F193" s="14">
        <v>8.2192000000000007</v>
      </c>
      <c r="G193" s="15">
        <f t="shared" si="16"/>
        <v>8.2192000000000001E-2</v>
      </c>
      <c r="H193" s="18">
        <f t="shared" si="17"/>
        <v>1084.9344000000001</v>
      </c>
      <c r="I193" s="16">
        <v>111</v>
      </c>
      <c r="J193" s="16">
        <v>148</v>
      </c>
      <c r="K193" s="16">
        <v>142</v>
      </c>
      <c r="L193" s="16">
        <f t="shared" si="18"/>
        <v>37</v>
      </c>
      <c r="M193" s="20">
        <f t="shared" si="19"/>
        <v>0.77027027027027029</v>
      </c>
      <c r="N193" s="19">
        <v>8.2192000000000001E-2</v>
      </c>
      <c r="O193" s="22">
        <v>100</v>
      </c>
      <c r="P193" s="13">
        <f t="shared" si="20"/>
        <v>-0.13783783783783785</v>
      </c>
      <c r="Q193" s="13">
        <f t="shared" si="21"/>
        <v>0.95982621621621622</v>
      </c>
      <c r="R193" s="16">
        <f t="shared" si="22"/>
        <v>35033.656891891893</v>
      </c>
      <c r="S193">
        <f t="shared" si="23"/>
        <v>24523.559824324322</v>
      </c>
    </row>
    <row r="194" spans="1:19" x14ac:dyDescent="0.3">
      <c r="A194" t="s">
        <v>215</v>
      </c>
      <c r="B194" t="s">
        <v>318</v>
      </c>
      <c r="C194" t="s">
        <v>332</v>
      </c>
      <c r="D194">
        <v>1</v>
      </c>
      <c r="E194" s="16">
        <v>3000</v>
      </c>
      <c r="F194" s="14">
        <v>34.794499999999999</v>
      </c>
      <c r="G194" s="15">
        <f t="shared" si="16"/>
        <v>0.347945</v>
      </c>
      <c r="H194" s="18">
        <f t="shared" si="17"/>
        <v>12526.02</v>
      </c>
      <c r="I194" s="16">
        <v>133</v>
      </c>
      <c r="J194" s="16">
        <v>1040</v>
      </c>
      <c r="K194" s="16">
        <v>621</v>
      </c>
      <c r="L194" s="16">
        <f t="shared" si="18"/>
        <v>907</v>
      </c>
      <c r="M194" s="20">
        <f t="shared" si="19"/>
        <v>0.53042998897464166</v>
      </c>
      <c r="N194" s="19">
        <v>0.347945</v>
      </c>
      <c r="O194" s="22">
        <v>100</v>
      </c>
      <c r="P194" s="13">
        <f t="shared" si="20"/>
        <v>7.0893054024255789E-2</v>
      </c>
      <c r="Q194" s="13">
        <f t="shared" si="21"/>
        <v>0.79457396912899669</v>
      </c>
      <c r="R194" s="16">
        <f t="shared" si="22"/>
        <v>29001.949873208378</v>
      </c>
      <c r="S194">
        <f t="shared" si="23"/>
        <v>20301.364911245862</v>
      </c>
    </row>
    <row r="195" spans="1:19" x14ac:dyDescent="0.3">
      <c r="A195" t="s">
        <v>216</v>
      </c>
      <c r="B195" t="s">
        <v>318</v>
      </c>
      <c r="C195" t="s">
        <v>332</v>
      </c>
      <c r="D195">
        <v>2</v>
      </c>
      <c r="E195" s="16">
        <v>3900</v>
      </c>
      <c r="F195" s="14">
        <v>47.671199999999999</v>
      </c>
      <c r="G195" s="15">
        <f t="shared" si="16"/>
        <v>0.47671199999999997</v>
      </c>
      <c r="H195" s="18">
        <f t="shared" si="17"/>
        <v>22310.121599999999</v>
      </c>
      <c r="I195" s="16">
        <v>231</v>
      </c>
      <c r="J195" s="16">
        <v>888</v>
      </c>
      <c r="K195" s="16">
        <v>535</v>
      </c>
      <c r="L195" s="16">
        <f t="shared" si="18"/>
        <v>657</v>
      </c>
      <c r="M195" s="20">
        <f t="shared" si="19"/>
        <v>0.4701674277016743</v>
      </c>
      <c r="N195" s="19">
        <v>0.47671199999999997</v>
      </c>
      <c r="O195" s="22">
        <v>100</v>
      </c>
      <c r="P195" s="13">
        <f t="shared" si="20"/>
        <v>-5.9512937595129378E-2</v>
      </c>
      <c r="Q195" s="13">
        <f t="shared" si="21"/>
        <v>0.89781639269406388</v>
      </c>
      <c r="R195" s="16">
        <f t="shared" si="22"/>
        <v>32770.298333333332</v>
      </c>
      <c r="S195">
        <f t="shared" si="23"/>
        <v>22939.20883333333</v>
      </c>
    </row>
    <row r="196" spans="1:19" x14ac:dyDescent="0.3">
      <c r="A196" t="s">
        <v>217</v>
      </c>
      <c r="B196" t="s">
        <v>318</v>
      </c>
      <c r="C196" t="s">
        <v>331</v>
      </c>
      <c r="D196">
        <v>1</v>
      </c>
      <c r="E196" s="16">
        <v>3600</v>
      </c>
      <c r="F196" s="14">
        <v>77.808199999999999</v>
      </c>
      <c r="G196" s="15">
        <f t="shared" si="16"/>
        <v>0.77808199999999994</v>
      </c>
      <c r="H196" s="18">
        <f t="shared" si="17"/>
        <v>33613.142399999997</v>
      </c>
      <c r="I196" s="16">
        <v>137</v>
      </c>
      <c r="J196" s="16">
        <v>808</v>
      </c>
      <c r="K196" s="16">
        <v>196</v>
      </c>
      <c r="L196" s="16">
        <f t="shared" si="18"/>
        <v>671</v>
      </c>
      <c r="M196" s="20">
        <f t="shared" si="19"/>
        <v>0.17034277198211625</v>
      </c>
      <c r="N196" s="19">
        <v>0.77808199999999994</v>
      </c>
      <c r="O196" s="22">
        <v>100</v>
      </c>
      <c r="P196" s="13">
        <f t="shared" si="20"/>
        <v>5.5886736214605069E-2</v>
      </c>
      <c r="Q196" s="13">
        <f t="shared" si="21"/>
        <v>0.80645447093889722</v>
      </c>
      <c r="R196" s="16">
        <f t="shared" si="22"/>
        <v>29435.588189269747</v>
      </c>
      <c r="S196">
        <f t="shared" si="23"/>
        <v>20604.911732488821</v>
      </c>
    </row>
    <row r="197" spans="1:19" x14ac:dyDescent="0.3">
      <c r="A197" t="s">
        <v>218</v>
      </c>
      <c r="B197" t="s">
        <v>320</v>
      </c>
      <c r="C197" t="s">
        <v>331</v>
      </c>
      <c r="D197">
        <v>2</v>
      </c>
      <c r="E197" s="16">
        <v>3500</v>
      </c>
      <c r="F197" s="14">
        <v>39.725999999999999</v>
      </c>
      <c r="G197" s="15">
        <f t="shared" ref="G197:G247" si="24">F197/100</f>
        <v>0.39726</v>
      </c>
      <c r="H197" s="18">
        <f t="shared" ref="H197:H247" si="25">E197*12*G197</f>
        <v>16684.920000000002</v>
      </c>
      <c r="I197" s="16">
        <v>155</v>
      </c>
      <c r="J197" s="16">
        <v>483</v>
      </c>
      <c r="K197" s="16">
        <v>294</v>
      </c>
      <c r="L197" s="16">
        <f t="shared" ref="L197:L247" si="26">J197-I197</f>
        <v>328</v>
      </c>
      <c r="M197" s="20">
        <f t="shared" ref="M197:M247" si="27">(K197-(I197-1/8*L197))/(1.25*L197)</f>
        <v>0.43902439024390244</v>
      </c>
      <c r="N197" s="19">
        <v>0.39726</v>
      </c>
      <c r="O197" s="22">
        <v>100</v>
      </c>
      <c r="P197" s="13">
        <f t="shared" ref="P197:P247" si="28">(O197-(I197-1/8*L197))/(1.25*L197)</f>
        <v>-3.4146341463414637E-2</v>
      </c>
      <c r="Q197" s="13">
        <f t="shared" ref="Q197:Q247" si="29">P197*$Q$1+$Q$2</f>
        <v>0.87773365853658536</v>
      </c>
      <c r="R197" s="16">
        <f t="shared" ref="R197:R247" si="30">365*O197*Q197</f>
        <v>32037.278536585367</v>
      </c>
      <c r="S197">
        <f t="shared" ref="S197:S247" si="31">R197*(1-$S$1)</f>
        <v>22426.094975609754</v>
      </c>
    </row>
    <row r="198" spans="1:19" x14ac:dyDescent="0.3">
      <c r="A198" t="s">
        <v>219</v>
      </c>
      <c r="B198" t="s">
        <v>320</v>
      </c>
      <c r="C198" t="s">
        <v>332</v>
      </c>
      <c r="D198">
        <v>1</v>
      </c>
      <c r="E198" s="16">
        <v>2500</v>
      </c>
      <c r="F198" s="14">
        <v>60</v>
      </c>
      <c r="G198" s="15">
        <f t="shared" si="24"/>
        <v>0.6</v>
      </c>
      <c r="H198" s="18">
        <f t="shared" si="25"/>
        <v>18000</v>
      </c>
      <c r="I198" s="16">
        <v>111</v>
      </c>
      <c r="J198" s="16">
        <v>868</v>
      </c>
      <c r="K198" s="16">
        <v>471</v>
      </c>
      <c r="L198" s="16">
        <f t="shared" si="26"/>
        <v>757</v>
      </c>
      <c r="M198" s="20">
        <f t="shared" si="27"/>
        <v>0.48044914134742406</v>
      </c>
      <c r="N198" s="19">
        <v>0.6</v>
      </c>
      <c r="O198" s="22">
        <v>100</v>
      </c>
      <c r="P198" s="13">
        <f t="shared" si="28"/>
        <v>8.837516512549537E-2</v>
      </c>
      <c r="Q198" s="13">
        <f t="shared" si="29"/>
        <v>0.78073338177014528</v>
      </c>
      <c r="R198" s="16">
        <f t="shared" si="30"/>
        <v>28496.768434610301</v>
      </c>
      <c r="S198">
        <f t="shared" si="31"/>
        <v>19947.737904227211</v>
      </c>
    </row>
    <row r="199" spans="1:19" x14ac:dyDescent="0.3">
      <c r="A199" t="s">
        <v>220</v>
      </c>
      <c r="B199" t="s">
        <v>320</v>
      </c>
      <c r="C199" t="s">
        <v>332</v>
      </c>
      <c r="D199">
        <v>2</v>
      </c>
      <c r="E199" s="16">
        <v>3000</v>
      </c>
      <c r="F199" s="14">
        <v>29.315100000000001</v>
      </c>
      <c r="G199" s="15">
        <f t="shared" si="24"/>
        <v>0.29315099999999999</v>
      </c>
      <c r="H199" s="18">
        <f t="shared" si="25"/>
        <v>10553.436</v>
      </c>
      <c r="I199" s="16">
        <v>195</v>
      </c>
      <c r="J199" s="16">
        <v>752</v>
      </c>
      <c r="K199" s="16">
        <v>620</v>
      </c>
      <c r="L199" s="16">
        <f t="shared" si="26"/>
        <v>557</v>
      </c>
      <c r="M199" s="20">
        <f t="shared" si="27"/>
        <v>0.71041292639138243</v>
      </c>
      <c r="N199" s="19">
        <v>0.29315099999999999</v>
      </c>
      <c r="O199" s="22">
        <v>100</v>
      </c>
      <c r="P199" s="13">
        <f t="shared" si="28"/>
        <v>-3.644524236983842E-2</v>
      </c>
      <c r="Q199" s="13">
        <f t="shared" si="29"/>
        <v>0.87955369838420105</v>
      </c>
      <c r="R199" s="16">
        <f t="shared" si="30"/>
        <v>32103.709991023337</v>
      </c>
      <c r="S199">
        <f t="shared" si="31"/>
        <v>22472.596993716335</v>
      </c>
    </row>
    <row r="200" spans="1:19" x14ac:dyDescent="0.3">
      <c r="A200" t="s">
        <v>221</v>
      </c>
      <c r="B200" t="s">
        <v>320</v>
      </c>
      <c r="C200" t="s">
        <v>331</v>
      </c>
      <c r="D200">
        <v>1</v>
      </c>
      <c r="E200" s="16">
        <v>3000</v>
      </c>
      <c r="F200" s="14">
        <v>64.1096</v>
      </c>
      <c r="G200" s="15">
        <f t="shared" si="24"/>
        <v>0.641096</v>
      </c>
      <c r="H200" s="18">
        <f t="shared" si="25"/>
        <v>23079.455999999998</v>
      </c>
      <c r="I200" s="16">
        <v>80</v>
      </c>
      <c r="J200" s="16">
        <v>469</v>
      </c>
      <c r="K200" s="16">
        <v>235</v>
      </c>
      <c r="L200" s="16">
        <f t="shared" si="26"/>
        <v>389</v>
      </c>
      <c r="M200" s="20">
        <f t="shared" si="27"/>
        <v>0.41876606683804629</v>
      </c>
      <c r="N200" s="19">
        <v>0.641096</v>
      </c>
      <c r="O200" s="22">
        <v>100</v>
      </c>
      <c r="P200" s="13">
        <f t="shared" si="28"/>
        <v>0.14113110539845758</v>
      </c>
      <c r="Q200" s="13">
        <f t="shared" si="29"/>
        <v>0.73896650385604112</v>
      </c>
      <c r="R200" s="16">
        <f t="shared" si="30"/>
        <v>26972.277390745501</v>
      </c>
      <c r="S200">
        <f t="shared" si="31"/>
        <v>18880.594173521851</v>
      </c>
    </row>
    <row r="201" spans="1:19" x14ac:dyDescent="0.3">
      <c r="A201" t="s">
        <v>222</v>
      </c>
      <c r="B201" t="s">
        <v>321</v>
      </c>
      <c r="C201" t="s">
        <v>331</v>
      </c>
      <c r="D201">
        <v>2</v>
      </c>
      <c r="E201" s="16">
        <v>3900</v>
      </c>
      <c r="F201" s="14">
        <v>50.411000000000001</v>
      </c>
      <c r="G201" s="15">
        <f t="shared" si="24"/>
        <v>0.50411000000000006</v>
      </c>
      <c r="H201" s="18">
        <f t="shared" si="25"/>
        <v>23592.348000000002</v>
      </c>
      <c r="I201" s="16">
        <v>116</v>
      </c>
      <c r="J201" s="16">
        <v>361</v>
      </c>
      <c r="K201" s="16">
        <v>284</v>
      </c>
      <c r="L201" s="16">
        <f t="shared" si="26"/>
        <v>245</v>
      </c>
      <c r="M201" s="20">
        <f t="shared" si="27"/>
        <v>0.64857142857142858</v>
      </c>
      <c r="N201" s="19">
        <v>0.50411000000000006</v>
      </c>
      <c r="O201" s="22">
        <v>100</v>
      </c>
      <c r="P201" s="13">
        <f t="shared" si="28"/>
        <v>4.7755102040816323E-2</v>
      </c>
      <c r="Q201" s="13">
        <f t="shared" si="29"/>
        <v>0.81289228571428573</v>
      </c>
      <c r="R201" s="16">
        <f t="shared" si="30"/>
        <v>29670.568428571431</v>
      </c>
      <c r="S201">
        <f t="shared" si="31"/>
        <v>20769.3979</v>
      </c>
    </row>
    <row r="202" spans="1:19" x14ac:dyDescent="0.3">
      <c r="A202" t="s">
        <v>223</v>
      </c>
      <c r="B202" t="s">
        <v>321</v>
      </c>
      <c r="C202" t="s">
        <v>332</v>
      </c>
      <c r="D202">
        <v>1</v>
      </c>
      <c r="E202" s="16">
        <v>2800</v>
      </c>
      <c r="F202" s="14">
        <v>40.274000000000001</v>
      </c>
      <c r="G202" s="15">
        <f t="shared" si="24"/>
        <v>0.40273999999999999</v>
      </c>
      <c r="H202" s="18">
        <f t="shared" si="25"/>
        <v>13532.064</v>
      </c>
      <c r="I202" s="16">
        <v>102</v>
      </c>
      <c r="J202" s="16">
        <v>799</v>
      </c>
      <c r="K202" s="16">
        <v>355</v>
      </c>
      <c r="L202" s="16">
        <f t="shared" si="26"/>
        <v>697</v>
      </c>
      <c r="M202" s="20">
        <f t="shared" si="27"/>
        <v>0.39038737446197991</v>
      </c>
      <c r="N202" s="19">
        <v>0.40273999999999999</v>
      </c>
      <c r="O202" s="22">
        <v>100</v>
      </c>
      <c r="P202" s="13">
        <f t="shared" si="28"/>
        <v>9.7704447632711619E-2</v>
      </c>
      <c r="Q202" s="13">
        <f t="shared" si="29"/>
        <v>0.77334738880918219</v>
      </c>
      <c r="R202" s="16">
        <f t="shared" si="30"/>
        <v>28227.179691535152</v>
      </c>
      <c r="S202">
        <f t="shared" si="31"/>
        <v>19759.025784074605</v>
      </c>
    </row>
    <row r="203" spans="1:19" x14ac:dyDescent="0.3">
      <c r="A203" t="s">
        <v>224</v>
      </c>
      <c r="B203" t="s">
        <v>321</v>
      </c>
      <c r="C203" t="s">
        <v>332</v>
      </c>
      <c r="D203">
        <v>2</v>
      </c>
      <c r="E203" s="16">
        <v>3500</v>
      </c>
      <c r="F203" s="14">
        <v>50.684899999999999</v>
      </c>
      <c r="G203" s="15">
        <f t="shared" si="24"/>
        <v>0.50684899999999999</v>
      </c>
      <c r="H203" s="18">
        <f t="shared" si="25"/>
        <v>21287.657999999999</v>
      </c>
      <c r="I203" s="16">
        <v>188</v>
      </c>
      <c r="J203" s="16">
        <v>724</v>
      </c>
      <c r="K203" s="16">
        <v>436</v>
      </c>
      <c r="L203" s="16">
        <f t="shared" si="26"/>
        <v>536</v>
      </c>
      <c r="M203" s="20">
        <f t="shared" si="27"/>
        <v>0.47014925373134331</v>
      </c>
      <c r="N203" s="19">
        <v>0.50684899999999999</v>
      </c>
      <c r="O203" s="22">
        <v>100</v>
      </c>
      <c r="P203" s="13">
        <f t="shared" si="28"/>
        <v>-3.134328358208955E-2</v>
      </c>
      <c r="Q203" s="13">
        <f t="shared" si="29"/>
        <v>0.87551447761194034</v>
      </c>
      <c r="R203" s="16">
        <f t="shared" si="30"/>
        <v>31956.278432835821</v>
      </c>
      <c r="S203">
        <f t="shared" si="31"/>
        <v>22369.394902985074</v>
      </c>
    </row>
    <row r="204" spans="1:19" x14ac:dyDescent="0.3">
      <c r="A204" t="s">
        <v>225</v>
      </c>
      <c r="B204" t="s">
        <v>319</v>
      </c>
      <c r="C204" t="s">
        <v>332</v>
      </c>
      <c r="D204">
        <v>1</v>
      </c>
      <c r="E204" s="16">
        <v>900</v>
      </c>
      <c r="F204" s="14">
        <v>54.794499999999999</v>
      </c>
      <c r="G204" s="15">
        <f t="shared" si="24"/>
        <v>0.54794500000000002</v>
      </c>
      <c r="H204" s="18">
        <f t="shared" si="25"/>
        <v>5917.8060000000005</v>
      </c>
      <c r="I204" s="16">
        <v>116</v>
      </c>
      <c r="J204" s="16">
        <v>296</v>
      </c>
      <c r="K204" s="16">
        <v>141</v>
      </c>
      <c r="L204" s="16">
        <f t="shared" si="26"/>
        <v>180</v>
      </c>
      <c r="M204" s="20">
        <f t="shared" si="27"/>
        <v>0.21111111111111111</v>
      </c>
      <c r="N204" s="19">
        <v>0.54794500000000002</v>
      </c>
      <c r="O204" s="22">
        <v>100</v>
      </c>
      <c r="P204" s="13">
        <f t="shared" si="28"/>
        <v>2.8888888888888888E-2</v>
      </c>
      <c r="Q204" s="13">
        <f t="shared" si="29"/>
        <v>0.82782866666666666</v>
      </c>
      <c r="R204" s="16">
        <f t="shared" si="30"/>
        <v>30215.746333333333</v>
      </c>
      <c r="S204">
        <f t="shared" si="31"/>
        <v>21151.022433333332</v>
      </c>
    </row>
    <row r="205" spans="1:19" x14ac:dyDescent="0.3">
      <c r="A205" t="s">
        <v>226</v>
      </c>
      <c r="B205" t="s">
        <v>321</v>
      </c>
      <c r="C205" t="s">
        <v>331</v>
      </c>
      <c r="D205">
        <v>1</v>
      </c>
      <c r="E205" s="16">
        <v>2600</v>
      </c>
      <c r="F205" s="14">
        <v>36.9863</v>
      </c>
      <c r="G205" s="15">
        <f t="shared" si="24"/>
        <v>0.369863</v>
      </c>
      <c r="H205" s="18">
        <f t="shared" si="25"/>
        <v>11539.7256</v>
      </c>
      <c r="I205" s="16">
        <v>69</v>
      </c>
      <c r="J205" s="16">
        <v>406</v>
      </c>
      <c r="K205" s="16">
        <v>250</v>
      </c>
      <c r="L205" s="16">
        <f t="shared" si="26"/>
        <v>337</v>
      </c>
      <c r="M205" s="20">
        <f t="shared" si="27"/>
        <v>0.52967359050445106</v>
      </c>
      <c r="N205" s="19">
        <v>0.369863</v>
      </c>
      <c r="O205" s="22">
        <v>100</v>
      </c>
      <c r="P205" s="13">
        <f t="shared" si="28"/>
        <v>0.17359050445103857</v>
      </c>
      <c r="Q205" s="13">
        <f t="shared" si="29"/>
        <v>0.71326839762611272</v>
      </c>
      <c r="R205" s="16">
        <f t="shared" si="30"/>
        <v>26034.296513353114</v>
      </c>
      <c r="S205">
        <f t="shared" si="31"/>
        <v>18224.007559347177</v>
      </c>
    </row>
    <row r="206" spans="1:19" x14ac:dyDescent="0.3">
      <c r="A206" t="s">
        <v>227</v>
      </c>
      <c r="B206" t="s">
        <v>322</v>
      </c>
      <c r="C206" t="s">
        <v>331</v>
      </c>
      <c r="D206">
        <v>2</v>
      </c>
      <c r="E206" s="16">
        <v>2695</v>
      </c>
      <c r="F206" s="14">
        <v>23.561599999999999</v>
      </c>
      <c r="G206" s="15">
        <f t="shared" si="24"/>
        <v>0.23561599999999999</v>
      </c>
      <c r="H206" s="18">
        <f t="shared" si="25"/>
        <v>7619.8214399999997</v>
      </c>
      <c r="I206" s="16">
        <v>265</v>
      </c>
      <c r="J206" s="16">
        <v>534</v>
      </c>
      <c r="K206" s="16">
        <v>443</v>
      </c>
      <c r="L206" s="16">
        <f t="shared" si="26"/>
        <v>269</v>
      </c>
      <c r="M206" s="20">
        <f t="shared" si="27"/>
        <v>0.6293680297397769</v>
      </c>
      <c r="N206" s="19">
        <v>0.23561599999999999</v>
      </c>
      <c r="O206" s="22">
        <v>100</v>
      </c>
      <c r="P206" s="13">
        <f t="shared" si="28"/>
        <v>-0.39070631970260222</v>
      </c>
      <c r="Q206" s="13">
        <f t="shared" si="29"/>
        <v>1.1600221933085502</v>
      </c>
      <c r="R206" s="16">
        <f t="shared" si="30"/>
        <v>42340.810055762078</v>
      </c>
      <c r="S206">
        <f t="shared" si="31"/>
        <v>29638.567039033453</v>
      </c>
    </row>
    <row r="207" spans="1:19" x14ac:dyDescent="0.3">
      <c r="A207" t="s">
        <v>228</v>
      </c>
      <c r="B207" t="s">
        <v>322</v>
      </c>
      <c r="C207" t="s">
        <v>332</v>
      </c>
      <c r="D207">
        <v>1</v>
      </c>
      <c r="E207" s="16">
        <v>3000</v>
      </c>
      <c r="F207" s="14">
        <v>58.0822</v>
      </c>
      <c r="G207" s="15">
        <f t="shared" si="24"/>
        <v>0.58082199999999995</v>
      </c>
      <c r="H207" s="18">
        <f t="shared" si="25"/>
        <v>20909.591999999997</v>
      </c>
      <c r="I207" s="16">
        <v>158</v>
      </c>
      <c r="J207" s="16">
        <v>706</v>
      </c>
      <c r="K207" s="16">
        <v>343</v>
      </c>
      <c r="L207" s="16">
        <f t="shared" si="26"/>
        <v>548</v>
      </c>
      <c r="M207" s="20">
        <f t="shared" si="27"/>
        <v>0.37007299270072991</v>
      </c>
      <c r="N207" s="19">
        <v>0.58082199999999995</v>
      </c>
      <c r="O207" s="22">
        <v>100</v>
      </c>
      <c r="P207" s="13">
        <f t="shared" si="28"/>
        <v>1.5328467153284672E-2</v>
      </c>
      <c r="Q207" s="13">
        <f t="shared" si="29"/>
        <v>0.83856445255474454</v>
      </c>
      <c r="R207" s="16">
        <f t="shared" si="30"/>
        <v>30607.602518248175</v>
      </c>
      <c r="S207">
        <f t="shared" si="31"/>
        <v>21425.321762773721</v>
      </c>
    </row>
    <row r="208" spans="1:19" x14ac:dyDescent="0.3">
      <c r="A208" t="s">
        <v>229</v>
      </c>
      <c r="B208" t="s">
        <v>322</v>
      </c>
      <c r="C208" t="s">
        <v>332</v>
      </c>
      <c r="D208">
        <v>2</v>
      </c>
      <c r="E208" s="16">
        <v>4000</v>
      </c>
      <c r="F208" s="14">
        <v>1.9177999999999999</v>
      </c>
      <c r="G208" s="15">
        <f t="shared" si="24"/>
        <v>1.9178000000000001E-2</v>
      </c>
      <c r="H208" s="18">
        <f t="shared" si="25"/>
        <v>920.54399999999998</v>
      </c>
      <c r="I208" s="16">
        <v>306</v>
      </c>
      <c r="J208" s="16">
        <v>781</v>
      </c>
      <c r="K208" s="16">
        <v>739</v>
      </c>
      <c r="L208" s="16">
        <f t="shared" si="26"/>
        <v>475</v>
      </c>
      <c r="M208" s="20">
        <f t="shared" si="27"/>
        <v>0.82926315789473681</v>
      </c>
      <c r="N208" s="19">
        <v>1.9178000000000001E-2</v>
      </c>
      <c r="O208" s="22">
        <v>100</v>
      </c>
      <c r="P208" s="13">
        <f t="shared" si="28"/>
        <v>-0.24694736842105264</v>
      </c>
      <c r="Q208" s="13">
        <f t="shared" si="29"/>
        <v>1.0462082315789474</v>
      </c>
      <c r="R208" s="16">
        <f t="shared" si="30"/>
        <v>38186.600452631581</v>
      </c>
      <c r="S208">
        <f t="shared" si="31"/>
        <v>26730.620316842105</v>
      </c>
    </row>
    <row r="209" spans="1:19" x14ac:dyDescent="0.3">
      <c r="A209" t="s">
        <v>230</v>
      </c>
      <c r="B209" t="s">
        <v>322</v>
      </c>
      <c r="C209" t="s">
        <v>331</v>
      </c>
      <c r="D209">
        <v>1</v>
      </c>
      <c r="E209" s="16">
        <v>2295</v>
      </c>
      <c r="F209" s="14">
        <v>46.849299999999999</v>
      </c>
      <c r="G209" s="15">
        <f t="shared" si="24"/>
        <v>0.46849299999999999</v>
      </c>
      <c r="H209" s="18">
        <f t="shared" si="25"/>
        <v>12902.29722</v>
      </c>
      <c r="I209" s="16">
        <v>100</v>
      </c>
      <c r="J209" s="16">
        <v>469</v>
      </c>
      <c r="K209" s="16">
        <v>270</v>
      </c>
      <c r="L209" s="16">
        <f t="shared" si="26"/>
        <v>369</v>
      </c>
      <c r="M209" s="20">
        <f t="shared" si="27"/>
        <v>0.46856368563685635</v>
      </c>
      <c r="N209" s="19">
        <v>0.46849299999999999</v>
      </c>
      <c r="O209" s="22">
        <v>100</v>
      </c>
      <c r="P209" s="13">
        <f t="shared" si="28"/>
        <v>0.1</v>
      </c>
      <c r="Q209" s="13">
        <f t="shared" si="29"/>
        <v>0.77153000000000005</v>
      </c>
      <c r="R209" s="16">
        <f t="shared" si="30"/>
        <v>28160.845000000001</v>
      </c>
      <c r="S209">
        <f t="shared" si="31"/>
        <v>19712.591499999999</v>
      </c>
    </row>
    <row r="210" spans="1:19" x14ac:dyDescent="0.3">
      <c r="A210" t="s">
        <v>231</v>
      </c>
      <c r="B210" t="s">
        <v>323</v>
      </c>
      <c r="C210" t="s">
        <v>331</v>
      </c>
      <c r="D210">
        <v>2</v>
      </c>
      <c r="E210" s="16">
        <v>3000</v>
      </c>
      <c r="F210" s="14">
        <v>34.246600000000001</v>
      </c>
      <c r="G210" s="15">
        <f t="shared" si="24"/>
        <v>0.34246599999999999</v>
      </c>
      <c r="H210" s="18">
        <f t="shared" si="25"/>
        <v>12328.776</v>
      </c>
      <c r="I210" s="16">
        <v>270</v>
      </c>
      <c r="J210" s="16">
        <v>543</v>
      </c>
      <c r="K210" s="16">
        <v>424</v>
      </c>
      <c r="L210" s="16">
        <f t="shared" si="26"/>
        <v>273</v>
      </c>
      <c r="M210" s="20">
        <f t="shared" si="27"/>
        <v>0.55128205128205132</v>
      </c>
      <c r="N210" s="19">
        <v>0.34246599999999999</v>
      </c>
      <c r="O210" s="22">
        <v>100</v>
      </c>
      <c r="P210" s="13">
        <f t="shared" si="28"/>
        <v>-0.39816849816849814</v>
      </c>
      <c r="Q210" s="13">
        <f t="shared" si="29"/>
        <v>1.1659299999999999</v>
      </c>
      <c r="R210" s="16">
        <f t="shared" si="30"/>
        <v>42556.445</v>
      </c>
      <c r="S210">
        <f t="shared" si="31"/>
        <v>29789.511499999997</v>
      </c>
    </row>
    <row r="211" spans="1:19" x14ac:dyDescent="0.3">
      <c r="A211" t="s">
        <v>232</v>
      </c>
      <c r="B211" t="s">
        <v>323</v>
      </c>
      <c r="C211" t="s">
        <v>332</v>
      </c>
      <c r="D211">
        <v>1</v>
      </c>
      <c r="E211" s="16">
        <v>3300</v>
      </c>
      <c r="F211" s="14">
        <v>27.1233</v>
      </c>
      <c r="G211" s="15">
        <f t="shared" si="24"/>
        <v>0.271233</v>
      </c>
      <c r="H211" s="18">
        <f t="shared" si="25"/>
        <v>10740.826800000001</v>
      </c>
      <c r="I211" s="16">
        <v>283</v>
      </c>
      <c r="J211" s="16">
        <v>1261</v>
      </c>
      <c r="K211" s="16">
        <v>980</v>
      </c>
      <c r="L211" s="16">
        <f t="shared" si="26"/>
        <v>978</v>
      </c>
      <c r="M211" s="20">
        <f t="shared" si="27"/>
        <v>0.67014314928425356</v>
      </c>
      <c r="N211" s="19">
        <v>0.271233</v>
      </c>
      <c r="O211" s="22">
        <v>100</v>
      </c>
      <c r="P211" s="13">
        <f t="shared" si="28"/>
        <v>-4.9693251533742329E-2</v>
      </c>
      <c r="Q211" s="13">
        <f t="shared" si="29"/>
        <v>0.89004214723926378</v>
      </c>
      <c r="R211" s="16">
        <f t="shared" si="30"/>
        <v>32486.538374233129</v>
      </c>
      <c r="S211">
        <f t="shared" si="31"/>
        <v>22740.576861963189</v>
      </c>
    </row>
    <row r="212" spans="1:19" x14ac:dyDescent="0.3">
      <c r="A212" t="s">
        <v>233</v>
      </c>
      <c r="B212" t="s">
        <v>323</v>
      </c>
      <c r="C212" t="s">
        <v>332</v>
      </c>
      <c r="D212">
        <v>2</v>
      </c>
      <c r="E212" s="16">
        <v>4500</v>
      </c>
      <c r="F212" s="14">
        <v>43.0137</v>
      </c>
      <c r="G212" s="15">
        <f t="shared" si="24"/>
        <v>0.43013699999999999</v>
      </c>
      <c r="H212" s="18">
        <f t="shared" si="25"/>
        <v>23227.398000000001</v>
      </c>
      <c r="I212" s="16">
        <v>530</v>
      </c>
      <c r="J212" s="16">
        <v>1354</v>
      </c>
      <c r="K212" s="16">
        <v>994</v>
      </c>
      <c r="L212" s="16">
        <f t="shared" si="26"/>
        <v>824</v>
      </c>
      <c r="M212" s="20">
        <f t="shared" si="27"/>
        <v>0.55048543689320384</v>
      </c>
      <c r="N212" s="19">
        <v>0.43013699999999999</v>
      </c>
      <c r="O212" s="22">
        <v>100</v>
      </c>
      <c r="P212" s="13">
        <f t="shared" si="28"/>
        <v>-0.31747572815533981</v>
      </c>
      <c r="Q212" s="13">
        <f t="shared" si="29"/>
        <v>1.1020455339805826</v>
      </c>
      <c r="R212" s="16">
        <f t="shared" si="30"/>
        <v>40224.661990291264</v>
      </c>
      <c r="S212">
        <f t="shared" si="31"/>
        <v>28157.263393203884</v>
      </c>
    </row>
    <row r="213" spans="1:19" x14ac:dyDescent="0.3">
      <c r="A213" t="s">
        <v>234</v>
      </c>
      <c r="B213" t="s">
        <v>323</v>
      </c>
      <c r="C213" t="s">
        <v>331</v>
      </c>
      <c r="D213">
        <v>1</v>
      </c>
      <c r="E213" s="16">
        <v>2700</v>
      </c>
      <c r="F213" s="14">
        <v>60.547899999999998</v>
      </c>
      <c r="G213" s="15">
        <f t="shared" si="24"/>
        <v>0.60547899999999999</v>
      </c>
      <c r="H213" s="18">
        <f t="shared" si="25"/>
        <v>19617.5196</v>
      </c>
      <c r="I213" s="16">
        <v>103</v>
      </c>
      <c r="J213" s="16">
        <v>483</v>
      </c>
      <c r="K213" s="16">
        <v>284</v>
      </c>
      <c r="L213" s="16">
        <f t="shared" si="26"/>
        <v>380</v>
      </c>
      <c r="M213" s="20">
        <f t="shared" si="27"/>
        <v>0.48105263157894734</v>
      </c>
      <c r="N213" s="19">
        <v>0.60547899999999999</v>
      </c>
      <c r="O213" s="22">
        <v>100</v>
      </c>
      <c r="P213" s="13">
        <f t="shared" si="28"/>
        <v>9.3684210526315786E-2</v>
      </c>
      <c r="Q213" s="13">
        <f t="shared" si="29"/>
        <v>0.77653021052631577</v>
      </c>
      <c r="R213" s="16">
        <f t="shared" si="30"/>
        <v>28343.352684210524</v>
      </c>
      <c r="S213">
        <f t="shared" si="31"/>
        <v>19840.346878947366</v>
      </c>
    </row>
    <row r="214" spans="1:19" x14ac:dyDescent="0.3">
      <c r="A214" t="s">
        <v>235</v>
      </c>
      <c r="B214" t="s">
        <v>324</v>
      </c>
      <c r="C214" t="s">
        <v>331</v>
      </c>
      <c r="D214">
        <v>1</v>
      </c>
      <c r="E214" s="16">
        <v>2700</v>
      </c>
      <c r="F214" s="14">
        <v>56.712299999999999</v>
      </c>
      <c r="G214" s="15">
        <f t="shared" si="24"/>
        <v>0.56712300000000004</v>
      </c>
      <c r="H214" s="18">
        <f t="shared" si="25"/>
        <v>18374.785200000002</v>
      </c>
      <c r="I214" s="16">
        <v>110</v>
      </c>
      <c r="J214" s="16">
        <v>515</v>
      </c>
      <c r="K214" s="16">
        <v>236</v>
      </c>
      <c r="L214" s="16">
        <f t="shared" si="26"/>
        <v>405</v>
      </c>
      <c r="M214" s="20">
        <f t="shared" si="27"/>
        <v>0.34888888888888892</v>
      </c>
      <c r="N214" s="19">
        <v>0.56712300000000004</v>
      </c>
      <c r="O214" s="22">
        <v>100</v>
      </c>
      <c r="P214" s="13">
        <f t="shared" si="28"/>
        <v>8.0246913580246909E-2</v>
      </c>
      <c r="Q214" s="13">
        <f t="shared" si="29"/>
        <v>0.78716851851851855</v>
      </c>
      <c r="R214" s="16">
        <f t="shared" si="30"/>
        <v>28731.650925925926</v>
      </c>
      <c r="S214">
        <f t="shared" si="31"/>
        <v>20112.155648148146</v>
      </c>
    </row>
    <row r="215" spans="1:19" x14ac:dyDescent="0.3">
      <c r="A215" t="s">
        <v>236</v>
      </c>
      <c r="B215" t="s">
        <v>319</v>
      </c>
      <c r="C215" t="s">
        <v>332</v>
      </c>
      <c r="D215">
        <v>2</v>
      </c>
      <c r="E215" s="16">
        <v>1100</v>
      </c>
      <c r="F215" s="14">
        <v>61.9178</v>
      </c>
      <c r="G215" s="15">
        <f t="shared" si="24"/>
        <v>0.61917800000000001</v>
      </c>
      <c r="H215" s="18">
        <f t="shared" si="25"/>
        <v>8173.1495999999997</v>
      </c>
      <c r="I215" s="16">
        <v>136</v>
      </c>
      <c r="J215" s="16">
        <v>335</v>
      </c>
      <c r="K215" s="16">
        <v>188</v>
      </c>
      <c r="L215" s="16">
        <f t="shared" si="26"/>
        <v>199</v>
      </c>
      <c r="M215" s="20">
        <f t="shared" si="27"/>
        <v>0.30904522613065327</v>
      </c>
      <c r="N215" s="19">
        <v>0.61917800000000001</v>
      </c>
      <c r="O215" s="22">
        <v>100</v>
      </c>
      <c r="P215" s="13">
        <f t="shared" si="28"/>
        <v>-4.4723618090452263E-2</v>
      </c>
      <c r="Q215" s="13">
        <f t="shared" si="29"/>
        <v>0.88610768844221111</v>
      </c>
      <c r="R215" s="16">
        <f t="shared" si="30"/>
        <v>32342.930628140704</v>
      </c>
      <c r="S215">
        <f t="shared" si="31"/>
        <v>22640.051439698491</v>
      </c>
    </row>
    <row r="216" spans="1:19" x14ac:dyDescent="0.3">
      <c r="A216" t="s">
        <v>237</v>
      </c>
      <c r="B216" t="s">
        <v>324</v>
      </c>
      <c r="C216" t="s">
        <v>331</v>
      </c>
      <c r="D216">
        <v>2</v>
      </c>
      <c r="E216" s="16">
        <v>3000</v>
      </c>
      <c r="F216" s="14">
        <v>70.411000000000001</v>
      </c>
      <c r="G216" s="15">
        <f t="shared" si="24"/>
        <v>0.70411000000000001</v>
      </c>
      <c r="H216" s="18">
        <f t="shared" si="25"/>
        <v>25347.96</v>
      </c>
      <c r="I216" s="16">
        <v>270</v>
      </c>
      <c r="J216" s="16">
        <v>544</v>
      </c>
      <c r="K216" s="16">
        <v>329</v>
      </c>
      <c r="L216" s="16">
        <f t="shared" si="26"/>
        <v>274</v>
      </c>
      <c r="M216" s="20">
        <f t="shared" si="27"/>
        <v>0.27226277372262775</v>
      </c>
      <c r="N216" s="19">
        <v>0.70411000000000001</v>
      </c>
      <c r="O216" s="22">
        <v>100</v>
      </c>
      <c r="P216" s="13">
        <f t="shared" si="28"/>
        <v>-0.39635036496350368</v>
      </c>
      <c r="Q216" s="13">
        <f t="shared" si="29"/>
        <v>1.164490583941606</v>
      </c>
      <c r="R216" s="16">
        <f t="shared" si="30"/>
        <v>42503.906313868618</v>
      </c>
      <c r="S216">
        <f t="shared" si="31"/>
        <v>29752.734419708031</v>
      </c>
    </row>
    <row r="217" spans="1:19" x14ac:dyDescent="0.3">
      <c r="A217" t="s">
        <v>238</v>
      </c>
      <c r="B217" t="s">
        <v>324</v>
      </c>
      <c r="C217" t="s">
        <v>332</v>
      </c>
      <c r="D217">
        <v>1</v>
      </c>
      <c r="E217" s="16">
        <v>4500</v>
      </c>
      <c r="F217" s="14">
        <v>44.383600000000001</v>
      </c>
      <c r="G217" s="15">
        <f t="shared" si="24"/>
        <v>0.44383600000000001</v>
      </c>
      <c r="H217" s="18">
        <f t="shared" si="25"/>
        <v>23967.144</v>
      </c>
      <c r="I217" s="16">
        <v>231</v>
      </c>
      <c r="J217" s="16">
        <v>1027</v>
      </c>
      <c r="K217" s="16">
        <v>549</v>
      </c>
      <c r="L217" s="16">
        <f t="shared" si="26"/>
        <v>796</v>
      </c>
      <c r="M217" s="20">
        <f t="shared" si="27"/>
        <v>0.41959798994974873</v>
      </c>
      <c r="N217" s="19">
        <v>0.44383600000000001</v>
      </c>
      <c r="O217" s="22">
        <v>100</v>
      </c>
      <c r="P217" s="13">
        <f t="shared" si="28"/>
        <v>-3.1658291457286429E-2</v>
      </c>
      <c r="Q217" s="13">
        <f t="shared" si="29"/>
        <v>0.87576386934673367</v>
      </c>
      <c r="R217" s="16">
        <f t="shared" si="30"/>
        <v>31965.381231155778</v>
      </c>
      <c r="S217">
        <f t="shared" si="31"/>
        <v>22375.766861809043</v>
      </c>
    </row>
    <row r="218" spans="1:19" x14ac:dyDescent="0.3">
      <c r="A218" t="s">
        <v>239</v>
      </c>
      <c r="B218" t="s">
        <v>324</v>
      </c>
      <c r="C218" t="s">
        <v>332</v>
      </c>
      <c r="D218">
        <v>2</v>
      </c>
      <c r="E218" s="16">
        <v>4900</v>
      </c>
      <c r="F218" s="14">
        <v>44.657499999999999</v>
      </c>
      <c r="G218" s="15">
        <f t="shared" si="24"/>
        <v>0.446575</v>
      </c>
      <c r="H218" s="18">
        <f t="shared" si="25"/>
        <v>26258.61</v>
      </c>
      <c r="I218" s="16">
        <v>379</v>
      </c>
      <c r="J218" s="16">
        <v>969</v>
      </c>
      <c r="K218" s="16">
        <v>652</v>
      </c>
      <c r="L218" s="16">
        <f t="shared" si="26"/>
        <v>590</v>
      </c>
      <c r="M218" s="20">
        <f t="shared" si="27"/>
        <v>0.47016949152542376</v>
      </c>
      <c r="N218" s="19">
        <v>0.446575</v>
      </c>
      <c r="O218" s="22">
        <v>100</v>
      </c>
      <c r="P218" s="13">
        <f t="shared" si="28"/>
        <v>-0.27830508474576271</v>
      </c>
      <c r="Q218" s="13">
        <f t="shared" si="29"/>
        <v>1.0710341355932202</v>
      </c>
      <c r="R218" s="16">
        <f t="shared" si="30"/>
        <v>39092.745949152537</v>
      </c>
      <c r="S218">
        <f t="shared" si="31"/>
        <v>27364.922164406773</v>
      </c>
    </row>
    <row r="219" spans="1:19" x14ac:dyDescent="0.3">
      <c r="A219" t="s">
        <v>240</v>
      </c>
      <c r="B219" t="s">
        <v>325</v>
      </c>
      <c r="C219" t="s">
        <v>331</v>
      </c>
      <c r="D219">
        <v>2</v>
      </c>
      <c r="E219" s="16">
        <v>3300</v>
      </c>
      <c r="F219" s="14">
        <v>42.191800000000001</v>
      </c>
      <c r="G219" s="15">
        <f t="shared" si="24"/>
        <v>0.42191800000000002</v>
      </c>
      <c r="H219" s="18">
        <f t="shared" si="25"/>
        <v>16707.952799999999</v>
      </c>
      <c r="I219" s="16">
        <v>264</v>
      </c>
      <c r="J219" s="16">
        <v>532</v>
      </c>
      <c r="K219" s="16">
        <v>378</v>
      </c>
      <c r="L219" s="16">
        <f t="shared" si="26"/>
        <v>268</v>
      </c>
      <c r="M219" s="20">
        <f t="shared" si="27"/>
        <v>0.44029850746268656</v>
      </c>
      <c r="N219" s="19">
        <v>0.42191800000000002</v>
      </c>
      <c r="O219" s="22">
        <v>100</v>
      </c>
      <c r="P219" s="13">
        <f t="shared" si="28"/>
        <v>-0.38955223880597017</v>
      </c>
      <c r="Q219" s="13">
        <f t="shared" si="29"/>
        <v>1.1591085074626866</v>
      </c>
      <c r="R219" s="16">
        <f t="shared" si="30"/>
        <v>42307.460522388057</v>
      </c>
      <c r="S219">
        <f t="shared" si="31"/>
        <v>29615.222365671638</v>
      </c>
    </row>
    <row r="220" spans="1:19" x14ac:dyDescent="0.3">
      <c r="A220" t="s">
        <v>241</v>
      </c>
      <c r="B220" t="s">
        <v>325</v>
      </c>
      <c r="C220" t="s">
        <v>332</v>
      </c>
      <c r="D220">
        <v>1</v>
      </c>
      <c r="E220" s="16">
        <v>4500</v>
      </c>
      <c r="F220" s="14">
        <v>59.178100000000001</v>
      </c>
      <c r="G220" s="15">
        <f t="shared" si="24"/>
        <v>0.591781</v>
      </c>
      <c r="H220" s="18">
        <f t="shared" si="25"/>
        <v>31956.173999999999</v>
      </c>
      <c r="I220" s="16">
        <v>151</v>
      </c>
      <c r="J220" s="16">
        <v>673</v>
      </c>
      <c r="K220" s="16">
        <v>255</v>
      </c>
      <c r="L220" s="16">
        <f t="shared" si="26"/>
        <v>522</v>
      </c>
      <c r="M220" s="20">
        <f t="shared" si="27"/>
        <v>0.25938697318007664</v>
      </c>
      <c r="N220" s="19">
        <v>0.591781</v>
      </c>
      <c r="O220" s="22">
        <v>100</v>
      </c>
      <c r="P220" s="13">
        <f t="shared" si="28"/>
        <v>2.1839080459770115E-2</v>
      </c>
      <c r="Q220" s="13">
        <f t="shared" si="29"/>
        <v>0.83340999999999998</v>
      </c>
      <c r="R220" s="16">
        <f t="shared" si="30"/>
        <v>30419.465</v>
      </c>
      <c r="S220">
        <f t="shared" si="31"/>
        <v>21293.625499999998</v>
      </c>
    </row>
    <row r="221" spans="1:19" x14ac:dyDescent="0.3">
      <c r="A221" t="s">
        <v>242</v>
      </c>
      <c r="B221" t="s">
        <v>325</v>
      </c>
      <c r="C221" t="s">
        <v>332</v>
      </c>
      <c r="D221">
        <v>2</v>
      </c>
      <c r="E221" s="16">
        <v>4200</v>
      </c>
      <c r="F221" s="14">
        <v>57.260300000000001</v>
      </c>
      <c r="G221" s="15">
        <f t="shared" si="24"/>
        <v>0.57260299999999997</v>
      </c>
      <c r="H221" s="18">
        <f t="shared" si="25"/>
        <v>28859.191199999997</v>
      </c>
      <c r="I221" s="16">
        <v>278</v>
      </c>
      <c r="J221" s="16">
        <v>711</v>
      </c>
      <c r="K221" s="16">
        <v>441</v>
      </c>
      <c r="L221" s="16">
        <f t="shared" si="26"/>
        <v>433</v>
      </c>
      <c r="M221" s="20">
        <f t="shared" si="27"/>
        <v>0.40115473441108546</v>
      </c>
      <c r="N221" s="19">
        <v>0.57260299999999997</v>
      </c>
      <c r="O221" s="22">
        <v>100</v>
      </c>
      <c r="P221" s="13">
        <f t="shared" si="28"/>
        <v>-0.22886836027713625</v>
      </c>
      <c r="Q221" s="13">
        <f t="shared" si="29"/>
        <v>1.0318950808314087</v>
      </c>
      <c r="R221" s="16">
        <f t="shared" si="30"/>
        <v>37664.170450346413</v>
      </c>
      <c r="S221">
        <f t="shared" si="31"/>
        <v>26364.919315242489</v>
      </c>
    </row>
    <row r="222" spans="1:19" x14ac:dyDescent="0.3">
      <c r="A222" t="s">
        <v>243</v>
      </c>
      <c r="B222" t="s">
        <v>325</v>
      </c>
      <c r="C222" t="s">
        <v>331</v>
      </c>
      <c r="D222">
        <v>1</v>
      </c>
      <c r="E222" s="16">
        <v>2500</v>
      </c>
      <c r="F222" s="14">
        <v>42.465800000000002</v>
      </c>
      <c r="G222" s="15">
        <f t="shared" si="24"/>
        <v>0.42465800000000004</v>
      </c>
      <c r="H222" s="18">
        <f t="shared" si="25"/>
        <v>12739.740000000002</v>
      </c>
      <c r="I222" s="16">
        <v>98</v>
      </c>
      <c r="J222" s="16">
        <v>460</v>
      </c>
      <c r="K222" s="16">
        <v>356</v>
      </c>
      <c r="L222" s="16">
        <f t="shared" si="26"/>
        <v>362</v>
      </c>
      <c r="M222" s="20">
        <f t="shared" si="27"/>
        <v>0.67016574585635358</v>
      </c>
      <c r="N222" s="19">
        <v>0.42465800000000004</v>
      </c>
      <c r="O222" s="22">
        <v>100</v>
      </c>
      <c r="P222" s="13">
        <f t="shared" si="28"/>
        <v>0.10441988950276243</v>
      </c>
      <c r="Q222" s="13">
        <f t="shared" si="29"/>
        <v>0.76803077348066295</v>
      </c>
      <c r="R222" s="16">
        <f t="shared" si="30"/>
        <v>28033.1232320442</v>
      </c>
      <c r="S222">
        <f t="shared" si="31"/>
        <v>19623.18626243094</v>
      </c>
    </row>
    <row r="223" spans="1:19" x14ac:dyDescent="0.3">
      <c r="A223" t="s">
        <v>244</v>
      </c>
      <c r="B223" t="s">
        <v>326</v>
      </c>
      <c r="C223" t="s">
        <v>331</v>
      </c>
      <c r="D223">
        <v>1</v>
      </c>
      <c r="E223" s="16">
        <v>2500</v>
      </c>
      <c r="F223" s="14">
        <v>7.9451999999999998</v>
      </c>
      <c r="G223" s="15">
        <f t="shared" si="24"/>
        <v>7.9451999999999995E-2</v>
      </c>
      <c r="H223" s="18">
        <f t="shared" si="25"/>
        <v>2383.56</v>
      </c>
      <c r="I223" s="16">
        <v>108</v>
      </c>
      <c r="J223" s="16">
        <v>507</v>
      </c>
      <c r="K223" s="16">
        <v>437</v>
      </c>
      <c r="L223" s="16">
        <f t="shared" si="26"/>
        <v>399</v>
      </c>
      <c r="M223" s="20">
        <f t="shared" si="27"/>
        <v>0.75964912280701757</v>
      </c>
      <c r="N223" s="19">
        <v>7.9451999999999995E-2</v>
      </c>
      <c r="O223" s="22">
        <v>100</v>
      </c>
      <c r="P223" s="13">
        <f t="shared" si="28"/>
        <v>8.3959899749373429E-2</v>
      </c>
      <c r="Q223" s="13">
        <f t="shared" si="29"/>
        <v>0.78422894736842108</v>
      </c>
      <c r="R223" s="16">
        <f t="shared" si="30"/>
        <v>28624.356578947369</v>
      </c>
      <c r="S223">
        <f t="shared" si="31"/>
        <v>20037.049605263157</v>
      </c>
    </row>
    <row r="224" spans="1:19" x14ac:dyDescent="0.3">
      <c r="A224" t="s">
        <v>245</v>
      </c>
      <c r="B224" t="s">
        <v>326</v>
      </c>
      <c r="C224" t="s">
        <v>331</v>
      </c>
      <c r="D224">
        <v>2</v>
      </c>
      <c r="E224" s="16">
        <v>3300</v>
      </c>
      <c r="F224" s="14">
        <v>31.780799999999999</v>
      </c>
      <c r="G224" s="15">
        <f t="shared" si="24"/>
        <v>0.31780799999999998</v>
      </c>
      <c r="H224" s="18">
        <f t="shared" si="25"/>
        <v>12585.1968</v>
      </c>
      <c r="I224" s="16">
        <v>270</v>
      </c>
      <c r="J224" s="16">
        <v>543</v>
      </c>
      <c r="K224" s="16">
        <v>461</v>
      </c>
      <c r="L224" s="16">
        <f t="shared" si="26"/>
        <v>273</v>
      </c>
      <c r="M224" s="20">
        <f t="shared" si="27"/>
        <v>0.65970695970695969</v>
      </c>
      <c r="N224" s="19">
        <v>0.31780799999999998</v>
      </c>
      <c r="O224" s="22">
        <v>100</v>
      </c>
      <c r="P224" s="13">
        <f t="shared" si="28"/>
        <v>-0.39816849816849814</v>
      </c>
      <c r="Q224" s="13">
        <f t="shared" si="29"/>
        <v>1.1659299999999999</v>
      </c>
      <c r="R224" s="16">
        <f t="shared" si="30"/>
        <v>42556.445</v>
      </c>
      <c r="S224">
        <f t="shared" si="31"/>
        <v>29789.511499999997</v>
      </c>
    </row>
    <row r="225" spans="1:19" x14ac:dyDescent="0.3">
      <c r="A225" t="s">
        <v>246</v>
      </c>
      <c r="B225" t="s">
        <v>326</v>
      </c>
      <c r="C225" t="s">
        <v>332</v>
      </c>
      <c r="D225">
        <v>1</v>
      </c>
      <c r="E225" s="16">
        <v>4500</v>
      </c>
      <c r="F225" s="14">
        <v>31.232900000000001</v>
      </c>
      <c r="G225" s="15">
        <f t="shared" si="24"/>
        <v>0.31232900000000002</v>
      </c>
      <c r="H225" s="18">
        <f t="shared" si="25"/>
        <v>16865.766</v>
      </c>
      <c r="I225" s="16">
        <v>186</v>
      </c>
      <c r="J225" s="16">
        <v>829</v>
      </c>
      <c r="K225" s="16">
        <v>669</v>
      </c>
      <c r="L225" s="16">
        <f t="shared" si="26"/>
        <v>643</v>
      </c>
      <c r="M225" s="20">
        <f t="shared" si="27"/>
        <v>0.70093312597200619</v>
      </c>
      <c r="N225" s="19">
        <v>0.31232900000000002</v>
      </c>
      <c r="O225" s="22">
        <v>100</v>
      </c>
      <c r="P225" s="13">
        <f t="shared" si="28"/>
        <v>-6.9984447900466561E-3</v>
      </c>
      <c r="Q225" s="13">
        <f t="shared" si="29"/>
        <v>0.85624066874027993</v>
      </c>
      <c r="R225" s="16">
        <f t="shared" si="30"/>
        <v>31252.784409020216</v>
      </c>
      <c r="S225">
        <f t="shared" si="31"/>
        <v>21876.949086314151</v>
      </c>
    </row>
    <row r="226" spans="1:19" x14ac:dyDescent="0.3">
      <c r="A226" t="s">
        <v>247</v>
      </c>
      <c r="B226" t="s">
        <v>319</v>
      </c>
      <c r="C226" t="s">
        <v>331</v>
      </c>
      <c r="D226">
        <v>1</v>
      </c>
      <c r="E226" s="16">
        <v>500</v>
      </c>
      <c r="F226" s="14">
        <v>39.725999999999999</v>
      </c>
      <c r="G226" s="15">
        <f t="shared" si="24"/>
        <v>0.39726</v>
      </c>
      <c r="H226" s="18">
        <f t="shared" si="25"/>
        <v>2383.56</v>
      </c>
      <c r="I226" s="16">
        <v>50</v>
      </c>
      <c r="J226" s="16">
        <v>174</v>
      </c>
      <c r="K226" s="16">
        <v>121</v>
      </c>
      <c r="L226" s="16">
        <f t="shared" si="26"/>
        <v>124</v>
      </c>
      <c r="M226" s="20">
        <f t="shared" si="27"/>
        <v>0.5580645161290323</v>
      </c>
      <c r="N226" s="19">
        <v>0.39726</v>
      </c>
      <c r="O226" s="22">
        <v>100</v>
      </c>
      <c r="P226" s="13">
        <f t="shared" si="28"/>
        <v>0.42258064516129035</v>
      </c>
      <c r="Q226" s="13">
        <f t="shared" si="29"/>
        <v>0.51614290322580647</v>
      </c>
      <c r="R226" s="16">
        <f t="shared" si="30"/>
        <v>18839.215967741937</v>
      </c>
      <c r="S226">
        <f t="shared" si="31"/>
        <v>13187.451177419354</v>
      </c>
    </row>
    <row r="227" spans="1:19" x14ac:dyDescent="0.3">
      <c r="A227" t="s">
        <v>248</v>
      </c>
      <c r="B227" t="s">
        <v>326</v>
      </c>
      <c r="C227" t="s">
        <v>332</v>
      </c>
      <c r="D227">
        <v>2</v>
      </c>
      <c r="E227" s="16">
        <v>4200</v>
      </c>
      <c r="F227" s="14">
        <v>61.0959</v>
      </c>
      <c r="G227" s="15">
        <f t="shared" si="24"/>
        <v>0.61095900000000003</v>
      </c>
      <c r="H227" s="18">
        <f t="shared" si="25"/>
        <v>30792.333600000002</v>
      </c>
      <c r="I227" s="16">
        <v>319</v>
      </c>
      <c r="J227" s="16">
        <v>815</v>
      </c>
      <c r="K227" s="16">
        <v>437</v>
      </c>
      <c r="L227" s="16">
        <f t="shared" si="26"/>
        <v>496</v>
      </c>
      <c r="M227" s="20">
        <f t="shared" si="27"/>
        <v>0.29032258064516131</v>
      </c>
      <c r="N227" s="19">
        <v>0.61095900000000003</v>
      </c>
      <c r="O227" s="22">
        <v>100</v>
      </c>
      <c r="P227" s="13">
        <f t="shared" si="28"/>
        <v>-0.25322580645161291</v>
      </c>
      <c r="Q227" s="13">
        <f t="shared" si="29"/>
        <v>1.0511788709677419</v>
      </c>
      <c r="R227" s="16">
        <f t="shared" si="30"/>
        <v>38368.028790322576</v>
      </c>
      <c r="S227">
        <f t="shared" si="31"/>
        <v>26857.620153225802</v>
      </c>
    </row>
    <row r="228" spans="1:19" x14ac:dyDescent="0.3">
      <c r="A228" t="s">
        <v>249</v>
      </c>
      <c r="B228" t="s">
        <v>327</v>
      </c>
      <c r="C228" t="s">
        <v>331</v>
      </c>
      <c r="D228">
        <v>2</v>
      </c>
      <c r="E228" s="16">
        <v>3600</v>
      </c>
      <c r="F228" s="14">
        <v>23.287700000000001</v>
      </c>
      <c r="G228" s="15">
        <f t="shared" si="24"/>
        <v>0.232877</v>
      </c>
      <c r="H228" s="18">
        <f t="shared" si="25"/>
        <v>10060.286400000001</v>
      </c>
      <c r="I228" s="16">
        <v>332</v>
      </c>
      <c r="J228" s="16">
        <v>805</v>
      </c>
      <c r="K228" s="16">
        <v>663</v>
      </c>
      <c r="L228" s="16">
        <f t="shared" si="26"/>
        <v>473</v>
      </c>
      <c r="M228" s="20">
        <f t="shared" si="27"/>
        <v>0.65983086680761094</v>
      </c>
      <c r="N228" s="19">
        <v>0.232877</v>
      </c>
      <c r="O228" s="22">
        <v>100</v>
      </c>
      <c r="P228" s="13">
        <f t="shared" si="28"/>
        <v>-0.29238900634249471</v>
      </c>
      <c r="Q228" s="13">
        <f t="shared" si="29"/>
        <v>1.082184376321353</v>
      </c>
      <c r="R228" s="16">
        <f t="shared" si="30"/>
        <v>39499.729735729386</v>
      </c>
      <c r="S228">
        <f t="shared" si="31"/>
        <v>27649.810815010569</v>
      </c>
    </row>
    <row r="229" spans="1:19" x14ac:dyDescent="0.3">
      <c r="A229" t="s">
        <v>250</v>
      </c>
      <c r="B229" t="s">
        <v>327</v>
      </c>
      <c r="C229" t="s">
        <v>332</v>
      </c>
      <c r="D229">
        <v>1</v>
      </c>
      <c r="E229" s="16">
        <v>4000</v>
      </c>
      <c r="F229" s="14">
        <v>50.684899999999999</v>
      </c>
      <c r="G229" s="15">
        <f t="shared" si="24"/>
        <v>0.50684899999999999</v>
      </c>
      <c r="H229" s="18">
        <f t="shared" si="25"/>
        <v>24328.752</v>
      </c>
      <c r="I229" s="16">
        <v>179</v>
      </c>
      <c r="J229" s="16">
        <v>629</v>
      </c>
      <c r="K229" s="16">
        <v>337</v>
      </c>
      <c r="L229" s="16">
        <f t="shared" si="26"/>
        <v>450</v>
      </c>
      <c r="M229" s="20">
        <f t="shared" si="27"/>
        <v>0.38088888888888889</v>
      </c>
      <c r="N229" s="19">
        <v>0.50684899999999999</v>
      </c>
      <c r="O229" s="22">
        <v>100</v>
      </c>
      <c r="P229" s="13">
        <f t="shared" si="28"/>
        <v>-4.0444444444444443E-2</v>
      </c>
      <c r="Q229" s="13">
        <f t="shared" si="29"/>
        <v>0.88271986666666669</v>
      </c>
      <c r="R229" s="16">
        <f t="shared" si="30"/>
        <v>32219.275133333333</v>
      </c>
      <c r="S229">
        <f t="shared" si="31"/>
        <v>22553.492593333332</v>
      </c>
    </row>
    <row r="230" spans="1:19" x14ac:dyDescent="0.3">
      <c r="A230" t="s">
        <v>251</v>
      </c>
      <c r="B230" t="s">
        <v>327</v>
      </c>
      <c r="C230" t="s">
        <v>332</v>
      </c>
      <c r="D230">
        <v>2</v>
      </c>
      <c r="E230" s="16">
        <v>5500</v>
      </c>
      <c r="F230" s="14">
        <v>61.643799999999999</v>
      </c>
      <c r="G230" s="15">
        <f t="shared" si="24"/>
        <v>0.61643800000000004</v>
      </c>
      <c r="H230" s="18">
        <f t="shared" si="25"/>
        <v>40684.908000000003</v>
      </c>
      <c r="I230" s="16">
        <v>227</v>
      </c>
      <c r="J230" s="16">
        <v>813</v>
      </c>
      <c r="K230" s="16">
        <v>447</v>
      </c>
      <c r="L230" s="16">
        <f t="shared" si="26"/>
        <v>586</v>
      </c>
      <c r="M230" s="20">
        <f t="shared" si="27"/>
        <v>0.40034129692832765</v>
      </c>
      <c r="N230" s="19">
        <v>0.61643800000000004</v>
      </c>
      <c r="O230" s="22">
        <v>100</v>
      </c>
      <c r="P230" s="13">
        <f t="shared" si="28"/>
        <v>-7.3378839590443681E-2</v>
      </c>
      <c r="Q230" s="13">
        <f t="shared" si="29"/>
        <v>0.90879402730375425</v>
      </c>
      <c r="R230" s="16">
        <f t="shared" si="30"/>
        <v>33170.981996587027</v>
      </c>
      <c r="S230">
        <f t="shared" si="31"/>
        <v>23219.687397610916</v>
      </c>
    </row>
    <row r="231" spans="1:19" x14ac:dyDescent="0.3">
      <c r="A231" t="s">
        <v>252</v>
      </c>
      <c r="B231" t="s">
        <v>327</v>
      </c>
      <c r="C231" t="s">
        <v>331</v>
      </c>
      <c r="D231">
        <v>1</v>
      </c>
      <c r="E231" s="16">
        <v>3000</v>
      </c>
      <c r="F231" s="14">
        <v>10.137</v>
      </c>
      <c r="G231" s="15">
        <f t="shared" si="24"/>
        <v>0.10137</v>
      </c>
      <c r="H231" s="18">
        <f t="shared" si="25"/>
        <v>3649.32</v>
      </c>
      <c r="I231" s="16">
        <v>115</v>
      </c>
      <c r="J231" s="16">
        <v>650</v>
      </c>
      <c r="K231" s="16">
        <v>610</v>
      </c>
      <c r="L231" s="16">
        <f t="shared" si="26"/>
        <v>535</v>
      </c>
      <c r="M231" s="20">
        <f t="shared" si="27"/>
        <v>0.84018691588785044</v>
      </c>
      <c r="N231" s="19">
        <v>0.10137</v>
      </c>
      <c r="O231" s="22">
        <v>100</v>
      </c>
      <c r="P231" s="13">
        <f t="shared" si="28"/>
        <v>7.7570093457943926E-2</v>
      </c>
      <c r="Q231" s="13">
        <f t="shared" si="29"/>
        <v>0.78928775700934584</v>
      </c>
      <c r="R231" s="16">
        <f t="shared" si="30"/>
        <v>28809.003130841123</v>
      </c>
      <c r="S231">
        <f t="shared" si="31"/>
        <v>20166.302191588784</v>
      </c>
    </row>
    <row r="232" spans="1:19" x14ac:dyDescent="0.3">
      <c r="A232" t="s">
        <v>253</v>
      </c>
      <c r="B232" t="s">
        <v>328</v>
      </c>
      <c r="C232" t="s">
        <v>331</v>
      </c>
      <c r="D232">
        <v>2</v>
      </c>
      <c r="E232" s="16">
        <v>4000</v>
      </c>
      <c r="F232" s="14">
        <v>31.506799999999998</v>
      </c>
      <c r="G232" s="15">
        <f t="shared" si="24"/>
        <v>0.31506799999999996</v>
      </c>
      <c r="H232" s="18">
        <f t="shared" si="25"/>
        <v>15123.263999999997</v>
      </c>
      <c r="I232" s="16">
        <v>220</v>
      </c>
      <c r="J232" s="16">
        <v>534</v>
      </c>
      <c r="K232" s="16">
        <v>302</v>
      </c>
      <c r="L232" s="16">
        <f t="shared" si="26"/>
        <v>314</v>
      </c>
      <c r="M232" s="20">
        <f t="shared" si="27"/>
        <v>0.30891719745222929</v>
      </c>
      <c r="N232" s="19">
        <v>0.31506799999999996</v>
      </c>
      <c r="O232" s="22">
        <v>100</v>
      </c>
      <c r="P232" s="13">
        <f t="shared" si="28"/>
        <v>-0.20573248407643313</v>
      </c>
      <c r="Q232" s="13">
        <f t="shared" si="29"/>
        <v>1.0135784076433121</v>
      </c>
      <c r="R232" s="16">
        <f t="shared" si="30"/>
        <v>36995.61187898089</v>
      </c>
      <c r="S232">
        <f t="shared" si="31"/>
        <v>25896.928315286623</v>
      </c>
    </row>
    <row r="233" spans="1:19" x14ac:dyDescent="0.3">
      <c r="A233" t="s">
        <v>254</v>
      </c>
      <c r="B233" t="s">
        <v>328</v>
      </c>
      <c r="C233" t="s">
        <v>332</v>
      </c>
      <c r="D233">
        <v>1</v>
      </c>
      <c r="E233" s="16">
        <v>4000</v>
      </c>
      <c r="F233" s="14">
        <v>65.205500000000001</v>
      </c>
      <c r="G233" s="15">
        <f t="shared" si="24"/>
        <v>0.65205500000000005</v>
      </c>
      <c r="H233" s="18">
        <f t="shared" si="25"/>
        <v>31298.640000000003</v>
      </c>
      <c r="I233" s="16">
        <v>128</v>
      </c>
      <c r="J233" s="16">
        <v>450</v>
      </c>
      <c r="K233" s="16">
        <v>213</v>
      </c>
      <c r="L233" s="16">
        <f t="shared" si="26"/>
        <v>322</v>
      </c>
      <c r="M233" s="20">
        <f t="shared" si="27"/>
        <v>0.31118012422360247</v>
      </c>
      <c r="N233" s="19">
        <v>0.65205500000000005</v>
      </c>
      <c r="O233" s="22">
        <v>100</v>
      </c>
      <c r="P233" s="13">
        <f t="shared" si="28"/>
        <v>3.0434782608695653E-2</v>
      </c>
      <c r="Q233" s="13">
        <f t="shared" si="29"/>
        <v>0.82660478260869563</v>
      </c>
      <c r="R233" s="16">
        <f t="shared" si="30"/>
        <v>30171.07456521739</v>
      </c>
      <c r="S233">
        <f t="shared" si="31"/>
        <v>21119.75219565217</v>
      </c>
    </row>
    <row r="234" spans="1:19" x14ac:dyDescent="0.3">
      <c r="A234" t="s">
        <v>255</v>
      </c>
      <c r="B234" t="s">
        <v>328</v>
      </c>
      <c r="C234" t="s">
        <v>332</v>
      </c>
      <c r="D234">
        <v>2</v>
      </c>
      <c r="E234" s="16">
        <v>5000</v>
      </c>
      <c r="F234" s="14">
        <v>51.232900000000001</v>
      </c>
      <c r="G234" s="15">
        <f t="shared" si="24"/>
        <v>0.51232900000000003</v>
      </c>
      <c r="H234" s="18">
        <f t="shared" si="25"/>
        <v>30739.74</v>
      </c>
      <c r="I234" s="16">
        <v>152</v>
      </c>
      <c r="J234" s="16">
        <v>546</v>
      </c>
      <c r="K234" s="16">
        <v>364</v>
      </c>
      <c r="L234" s="16">
        <f t="shared" si="26"/>
        <v>394</v>
      </c>
      <c r="M234" s="20">
        <f t="shared" si="27"/>
        <v>0.53045685279187815</v>
      </c>
      <c r="N234" s="19">
        <v>0.51232900000000003</v>
      </c>
      <c r="O234" s="22">
        <v>100</v>
      </c>
      <c r="P234" s="13">
        <f t="shared" si="28"/>
        <v>-5.5837563451776647E-3</v>
      </c>
      <c r="Q234" s="13">
        <f t="shared" si="29"/>
        <v>0.85512065989847719</v>
      </c>
      <c r="R234" s="16">
        <f t="shared" si="30"/>
        <v>31211.904086294417</v>
      </c>
      <c r="S234">
        <f t="shared" si="31"/>
        <v>21848.332860406092</v>
      </c>
    </row>
    <row r="235" spans="1:19" x14ac:dyDescent="0.3">
      <c r="A235" t="s">
        <v>256</v>
      </c>
      <c r="B235" t="s">
        <v>328</v>
      </c>
      <c r="C235" t="s">
        <v>331</v>
      </c>
      <c r="D235">
        <v>1</v>
      </c>
      <c r="E235" s="16">
        <v>3200</v>
      </c>
      <c r="F235" s="14">
        <v>62.739699999999999</v>
      </c>
      <c r="G235" s="15">
        <f t="shared" si="24"/>
        <v>0.62739699999999998</v>
      </c>
      <c r="H235" s="18">
        <f t="shared" si="25"/>
        <v>24092.0448</v>
      </c>
      <c r="I235" s="16">
        <v>94</v>
      </c>
      <c r="J235" s="16">
        <v>528</v>
      </c>
      <c r="K235" s="16">
        <v>251</v>
      </c>
      <c r="L235" s="16">
        <f t="shared" si="26"/>
        <v>434</v>
      </c>
      <c r="M235" s="20">
        <f t="shared" si="27"/>
        <v>0.38940092165898615</v>
      </c>
      <c r="N235" s="19">
        <v>0.62739699999999998</v>
      </c>
      <c r="O235" s="22">
        <v>100</v>
      </c>
      <c r="P235" s="13">
        <f t="shared" si="28"/>
        <v>0.11105990783410138</v>
      </c>
      <c r="Q235" s="13">
        <f t="shared" si="29"/>
        <v>0.76277387096774196</v>
      </c>
      <c r="R235" s="16">
        <f t="shared" si="30"/>
        <v>27841.246290322582</v>
      </c>
      <c r="S235">
        <f t="shared" si="31"/>
        <v>19488.872403225807</v>
      </c>
    </row>
    <row r="236" spans="1:19" x14ac:dyDescent="0.3">
      <c r="A236" t="s">
        <v>257</v>
      </c>
      <c r="B236" t="s">
        <v>329</v>
      </c>
      <c r="C236" t="s">
        <v>331</v>
      </c>
      <c r="D236">
        <v>2</v>
      </c>
      <c r="E236" s="16">
        <v>3500</v>
      </c>
      <c r="F236" s="14">
        <v>39.725999999999999</v>
      </c>
      <c r="G236" s="15">
        <f t="shared" si="24"/>
        <v>0.39726</v>
      </c>
      <c r="H236" s="18">
        <f t="shared" si="25"/>
        <v>16684.920000000002</v>
      </c>
      <c r="I236" s="16">
        <v>194</v>
      </c>
      <c r="J236" s="16">
        <v>471</v>
      </c>
      <c r="K236" s="16">
        <v>343</v>
      </c>
      <c r="L236" s="16">
        <f t="shared" si="26"/>
        <v>277</v>
      </c>
      <c r="M236" s="20">
        <f t="shared" si="27"/>
        <v>0.53032490974729241</v>
      </c>
      <c r="N236" s="19">
        <v>0.39726</v>
      </c>
      <c r="O236" s="22">
        <v>100</v>
      </c>
      <c r="P236" s="13">
        <f t="shared" si="28"/>
        <v>-0.17148014440433212</v>
      </c>
      <c r="Q236" s="13">
        <f t="shared" si="29"/>
        <v>0.98646083032490972</v>
      </c>
      <c r="R236" s="16">
        <f t="shared" si="30"/>
        <v>36005.820306859205</v>
      </c>
      <c r="S236">
        <f t="shared" si="31"/>
        <v>25204.074214801443</v>
      </c>
    </row>
    <row r="237" spans="1:19" x14ac:dyDescent="0.3">
      <c r="A237" t="s">
        <v>258</v>
      </c>
      <c r="B237" t="s">
        <v>270</v>
      </c>
      <c r="C237" t="s">
        <v>331</v>
      </c>
      <c r="D237">
        <v>1</v>
      </c>
      <c r="E237" s="16">
        <v>965</v>
      </c>
      <c r="F237" s="14">
        <v>37.534199999999998</v>
      </c>
      <c r="G237" s="15">
        <f t="shared" si="24"/>
        <v>0.37534200000000001</v>
      </c>
      <c r="H237" s="18">
        <f t="shared" si="25"/>
        <v>4346.46036</v>
      </c>
      <c r="I237" s="16">
        <v>50</v>
      </c>
      <c r="J237" s="16">
        <v>174</v>
      </c>
      <c r="K237" s="16">
        <v>125</v>
      </c>
      <c r="L237" s="16">
        <f t="shared" si="26"/>
        <v>124</v>
      </c>
      <c r="M237" s="20">
        <f t="shared" si="27"/>
        <v>0.58387096774193548</v>
      </c>
      <c r="N237" s="19">
        <v>0.37534200000000001</v>
      </c>
      <c r="O237" s="22">
        <v>100</v>
      </c>
      <c r="P237" s="13">
        <f t="shared" si="28"/>
        <v>0.42258064516129035</v>
      </c>
      <c r="Q237" s="13">
        <f t="shared" si="29"/>
        <v>0.51614290322580647</v>
      </c>
      <c r="R237" s="16">
        <f t="shared" si="30"/>
        <v>18839.215967741937</v>
      </c>
      <c r="S237">
        <f t="shared" si="31"/>
        <v>13187.451177419354</v>
      </c>
    </row>
    <row r="238" spans="1:19" x14ac:dyDescent="0.3">
      <c r="A238" t="s">
        <v>259</v>
      </c>
      <c r="B238" t="s">
        <v>329</v>
      </c>
      <c r="C238" t="s">
        <v>332</v>
      </c>
      <c r="D238">
        <v>1</v>
      </c>
      <c r="E238" s="16">
        <v>3200</v>
      </c>
      <c r="F238" s="14">
        <v>33.424700000000001</v>
      </c>
      <c r="G238" s="15">
        <f t="shared" si="24"/>
        <v>0.33424700000000002</v>
      </c>
      <c r="H238" s="18">
        <f t="shared" si="25"/>
        <v>12835.084800000001</v>
      </c>
      <c r="I238" s="16">
        <v>138</v>
      </c>
      <c r="J238" s="16">
        <v>485</v>
      </c>
      <c r="K238" s="16">
        <v>251</v>
      </c>
      <c r="L238" s="16">
        <f t="shared" si="26"/>
        <v>347</v>
      </c>
      <c r="M238" s="20">
        <f t="shared" si="27"/>
        <v>0.36051873198847262</v>
      </c>
      <c r="N238" s="19">
        <v>0.33424700000000002</v>
      </c>
      <c r="O238" s="22">
        <v>100</v>
      </c>
      <c r="P238" s="13">
        <f t="shared" si="28"/>
        <v>1.2391930835734871E-2</v>
      </c>
      <c r="Q238" s="13">
        <f t="shared" si="29"/>
        <v>0.84088930835734876</v>
      </c>
      <c r="R238" s="16">
        <f t="shared" si="30"/>
        <v>30692.45975504323</v>
      </c>
      <c r="S238">
        <f t="shared" si="31"/>
        <v>21484.721828530259</v>
      </c>
    </row>
    <row r="239" spans="1:19" x14ac:dyDescent="0.3">
      <c r="A239" t="s">
        <v>260</v>
      </c>
      <c r="B239" t="s">
        <v>329</v>
      </c>
      <c r="C239" t="s">
        <v>332</v>
      </c>
      <c r="D239">
        <v>2</v>
      </c>
      <c r="E239" s="16">
        <v>3500</v>
      </c>
      <c r="F239" s="14">
        <v>36.164400000000001</v>
      </c>
      <c r="G239" s="15">
        <f t="shared" si="24"/>
        <v>0.36164400000000002</v>
      </c>
      <c r="H239" s="18">
        <f t="shared" si="25"/>
        <v>15189.048000000001</v>
      </c>
      <c r="I239" s="16">
        <v>152</v>
      </c>
      <c r="J239" s="16">
        <v>547</v>
      </c>
      <c r="K239" s="16">
        <v>404</v>
      </c>
      <c r="L239" s="16">
        <f t="shared" si="26"/>
        <v>395</v>
      </c>
      <c r="M239" s="20">
        <f t="shared" si="27"/>
        <v>0.61037974683544305</v>
      </c>
      <c r="N239" s="19">
        <v>0.36164400000000002</v>
      </c>
      <c r="O239" s="22">
        <v>100</v>
      </c>
      <c r="P239" s="13">
        <f t="shared" si="28"/>
        <v>-5.3164556962025317E-3</v>
      </c>
      <c r="Q239" s="13">
        <f t="shared" si="29"/>
        <v>0.85490903797468354</v>
      </c>
      <c r="R239" s="16">
        <f t="shared" si="30"/>
        <v>31204.179886075948</v>
      </c>
      <c r="S239">
        <f t="shared" si="31"/>
        <v>21842.925920253161</v>
      </c>
    </row>
    <row r="240" spans="1:19" x14ac:dyDescent="0.3">
      <c r="A240" t="s">
        <v>261</v>
      </c>
      <c r="B240" t="s">
        <v>329</v>
      </c>
      <c r="C240" t="s">
        <v>331</v>
      </c>
      <c r="D240">
        <v>1</v>
      </c>
      <c r="E240" s="16">
        <v>3000</v>
      </c>
      <c r="F240" s="14">
        <v>26.575299999999999</v>
      </c>
      <c r="G240" s="15">
        <f t="shared" si="24"/>
        <v>0.26575299999999996</v>
      </c>
      <c r="H240" s="18">
        <f t="shared" si="25"/>
        <v>9567.1079999999984</v>
      </c>
      <c r="I240" s="16">
        <v>77</v>
      </c>
      <c r="J240" s="16">
        <v>432</v>
      </c>
      <c r="K240" s="16">
        <v>161</v>
      </c>
      <c r="L240" s="16">
        <f t="shared" si="26"/>
        <v>355</v>
      </c>
      <c r="M240" s="20">
        <f t="shared" si="27"/>
        <v>0.2892957746478873</v>
      </c>
      <c r="N240" s="19">
        <v>0.26575299999999996</v>
      </c>
      <c r="O240" s="22">
        <v>100</v>
      </c>
      <c r="P240" s="13">
        <f t="shared" si="28"/>
        <v>0.15183098591549296</v>
      </c>
      <c r="Q240" s="13">
        <f t="shared" si="29"/>
        <v>0.73049540845070426</v>
      </c>
      <c r="R240" s="16">
        <f t="shared" si="30"/>
        <v>26663.082408450704</v>
      </c>
      <c r="S240">
        <f t="shared" si="31"/>
        <v>18664.157685915492</v>
      </c>
    </row>
    <row r="241" spans="1:19" x14ac:dyDescent="0.3">
      <c r="A241" t="s">
        <v>262</v>
      </c>
      <c r="B241" t="s">
        <v>330</v>
      </c>
      <c r="C241" t="s">
        <v>331</v>
      </c>
      <c r="D241">
        <v>1</v>
      </c>
      <c r="E241" s="16">
        <v>2600</v>
      </c>
      <c r="F241" s="14">
        <v>38.630099999999999</v>
      </c>
      <c r="G241" s="15">
        <f t="shared" si="24"/>
        <v>0.38630100000000001</v>
      </c>
      <c r="H241" s="18">
        <f t="shared" si="25"/>
        <v>12052.591200000001</v>
      </c>
      <c r="I241" s="16">
        <v>100</v>
      </c>
      <c r="J241" s="16">
        <v>565</v>
      </c>
      <c r="K241" s="16">
        <v>408</v>
      </c>
      <c r="L241" s="16">
        <f t="shared" si="26"/>
        <v>465</v>
      </c>
      <c r="M241" s="20">
        <f t="shared" si="27"/>
        <v>0.62989247311827956</v>
      </c>
      <c r="N241" s="19">
        <v>0.38630100000000001</v>
      </c>
      <c r="O241" s="22">
        <v>100</v>
      </c>
      <c r="P241" s="13">
        <f t="shared" si="28"/>
        <v>0.1</v>
      </c>
      <c r="Q241" s="13">
        <f t="shared" si="29"/>
        <v>0.77153000000000005</v>
      </c>
      <c r="R241" s="16">
        <f t="shared" si="30"/>
        <v>28160.845000000001</v>
      </c>
      <c r="S241">
        <f t="shared" si="31"/>
        <v>19712.591499999999</v>
      </c>
    </row>
    <row r="242" spans="1:19" x14ac:dyDescent="0.3">
      <c r="A242" t="s">
        <v>263</v>
      </c>
      <c r="B242" t="s">
        <v>330</v>
      </c>
      <c r="C242" t="s">
        <v>331</v>
      </c>
      <c r="D242">
        <v>2</v>
      </c>
      <c r="E242" s="16">
        <v>4000</v>
      </c>
      <c r="F242" s="14">
        <v>31.506799999999998</v>
      </c>
      <c r="G242" s="15">
        <f t="shared" si="24"/>
        <v>0.31506799999999996</v>
      </c>
      <c r="H242" s="18">
        <f t="shared" si="25"/>
        <v>15123.263999999997</v>
      </c>
      <c r="I242" s="16">
        <v>204</v>
      </c>
      <c r="J242" s="16">
        <v>494</v>
      </c>
      <c r="K242" s="16">
        <v>284</v>
      </c>
      <c r="L242" s="16">
        <f t="shared" si="26"/>
        <v>290</v>
      </c>
      <c r="M242" s="20">
        <f t="shared" si="27"/>
        <v>0.32068965517241377</v>
      </c>
      <c r="N242" s="19">
        <v>0.31506799999999996</v>
      </c>
      <c r="O242" s="22">
        <v>100</v>
      </c>
      <c r="P242" s="13">
        <f t="shared" si="28"/>
        <v>-0.18689655172413794</v>
      </c>
      <c r="Q242" s="13">
        <f t="shared" si="29"/>
        <v>0.99866600000000005</v>
      </c>
      <c r="R242" s="16">
        <f t="shared" si="30"/>
        <v>36451.309000000001</v>
      </c>
      <c r="S242">
        <f t="shared" si="31"/>
        <v>25515.916300000001</v>
      </c>
    </row>
    <row r="243" spans="1:19" x14ac:dyDescent="0.3">
      <c r="A243" t="s">
        <v>264</v>
      </c>
      <c r="B243" t="s">
        <v>330</v>
      </c>
      <c r="C243" t="s">
        <v>332</v>
      </c>
      <c r="D243">
        <v>1</v>
      </c>
      <c r="E243" s="16">
        <v>4000</v>
      </c>
      <c r="F243" s="14">
        <v>55.616399999999999</v>
      </c>
      <c r="G243" s="15">
        <f t="shared" si="24"/>
        <v>0.55616399999999999</v>
      </c>
      <c r="H243" s="18">
        <f t="shared" si="25"/>
        <v>26695.871999999999</v>
      </c>
      <c r="I243" s="16">
        <v>257</v>
      </c>
      <c r="J243" s="16">
        <v>903</v>
      </c>
      <c r="K243" s="16">
        <v>443</v>
      </c>
      <c r="L243" s="16">
        <f t="shared" si="26"/>
        <v>646</v>
      </c>
      <c r="M243" s="20">
        <f t="shared" si="27"/>
        <v>0.33034055727554179</v>
      </c>
      <c r="N243" s="19">
        <v>0.55616399999999999</v>
      </c>
      <c r="O243" s="22">
        <v>100</v>
      </c>
      <c r="P243" s="13">
        <f t="shared" si="28"/>
        <v>-9.4427244582043338E-2</v>
      </c>
      <c r="Q243" s="13">
        <f t="shared" si="29"/>
        <v>0.92545804953560373</v>
      </c>
      <c r="R243" s="16">
        <f t="shared" si="30"/>
        <v>33779.21880804954</v>
      </c>
      <c r="S243">
        <f t="shared" si="31"/>
        <v>23645.453165634677</v>
      </c>
    </row>
    <row r="244" spans="1:19" x14ac:dyDescent="0.3">
      <c r="A244" t="s">
        <v>265</v>
      </c>
      <c r="B244" t="s">
        <v>330</v>
      </c>
      <c r="C244" t="s">
        <v>332</v>
      </c>
      <c r="D244">
        <v>2</v>
      </c>
      <c r="E244" s="16">
        <v>5100</v>
      </c>
      <c r="F244" s="14">
        <v>44.9315</v>
      </c>
      <c r="G244" s="15">
        <f t="shared" si="24"/>
        <v>0.44931500000000002</v>
      </c>
      <c r="H244" s="18">
        <f t="shared" si="25"/>
        <v>27498.078000000001</v>
      </c>
      <c r="I244" s="16">
        <v>256</v>
      </c>
      <c r="J244" s="16">
        <v>916</v>
      </c>
      <c r="K244" s="16">
        <v>718</v>
      </c>
      <c r="L244" s="16">
        <f t="shared" si="26"/>
        <v>660</v>
      </c>
      <c r="M244" s="20">
        <f t="shared" si="27"/>
        <v>0.66</v>
      </c>
      <c r="N244" s="19">
        <v>0.44931500000000002</v>
      </c>
      <c r="O244" s="22">
        <v>100</v>
      </c>
      <c r="P244" s="13">
        <f t="shared" si="28"/>
        <v>-8.9090909090909096E-2</v>
      </c>
      <c r="Q244" s="13">
        <f t="shared" si="29"/>
        <v>0.92123327272727273</v>
      </c>
      <c r="R244" s="16">
        <f t="shared" si="30"/>
        <v>33625.014454545453</v>
      </c>
      <c r="S244">
        <f t="shared" si="31"/>
        <v>23537.510118181817</v>
      </c>
    </row>
    <row r="245" spans="1:19" x14ac:dyDescent="0.3">
      <c r="A245" t="s">
        <v>266</v>
      </c>
      <c r="B245" t="s">
        <v>271</v>
      </c>
      <c r="C245" t="s">
        <v>331</v>
      </c>
      <c r="D245">
        <v>2</v>
      </c>
      <c r="E245" s="16">
        <v>5600</v>
      </c>
      <c r="F245" s="14">
        <v>31.780799999999999</v>
      </c>
      <c r="G245" s="15">
        <f t="shared" si="24"/>
        <v>0.31780799999999998</v>
      </c>
      <c r="H245" s="18">
        <f t="shared" si="25"/>
        <v>21356.6976</v>
      </c>
      <c r="I245" s="16">
        <v>265</v>
      </c>
      <c r="J245" s="16">
        <v>644</v>
      </c>
      <c r="K245" s="16">
        <v>478</v>
      </c>
      <c r="L245" s="16">
        <f t="shared" si="26"/>
        <v>379</v>
      </c>
      <c r="M245" s="20">
        <f t="shared" si="27"/>
        <v>0.54960422163588396</v>
      </c>
      <c r="N245" s="19">
        <v>0.31780799999999998</v>
      </c>
      <c r="O245" s="22">
        <v>100</v>
      </c>
      <c r="P245" s="13">
        <f t="shared" si="28"/>
        <v>-0.24828496042216358</v>
      </c>
      <c r="Q245" s="13">
        <f t="shared" si="29"/>
        <v>1.0472672031662269</v>
      </c>
      <c r="R245" s="16">
        <f t="shared" si="30"/>
        <v>38225.252915567282</v>
      </c>
      <c r="S245">
        <f t="shared" si="31"/>
        <v>26757.677040897095</v>
      </c>
    </row>
    <row r="246" spans="1:19" x14ac:dyDescent="0.3">
      <c r="A246" t="s">
        <v>267</v>
      </c>
      <c r="B246" t="s">
        <v>271</v>
      </c>
      <c r="C246" t="s">
        <v>332</v>
      </c>
      <c r="D246">
        <v>1</v>
      </c>
      <c r="E246" s="16">
        <v>5000</v>
      </c>
      <c r="F246" s="14">
        <v>51.232900000000001</v>
      </c>
      <c r="G246" s="15">
        <f t="shared" si="24"/>
        <v>0.51232900000000003</v>
      </c>
      <c r="H246" s="18">
        <f t="shared" si="25"/>
        <v>30739.74</v>
      </c>
      <c r="I246" s="16">
        <v>236</v>
      </c>
      <c r="J246" s="16">
        <v>829</v>
      </c>
      <c r="K246" s="16">
        <v>533</v>
      </c>
      <c r="L246" s="16">
        <f t="shared" si="26"/>
        <v>593</v>
      </c>
      <c r="M246" s="20">
        <f t="shared" si="27"/>
        <v>0.50067453625632374</v>
      </c>
      <c r="N246" s="19">
        <v>0.51232900000000003</v>
      </c>
      <c r="O246" s="22">
        <v>100</v>
      </c>
      <c r="P246" s="13">
        <f t="shared" si="28"/>
        <v>-8.347386172006746E-2</v>
      </c>
      <c r="Q246" s="13">
        <f t="shared" si="29"/>
        <v>0.91678625632377742</v>
      </c>
      <c r="R246" s="16">
        <f t="shared" si="30"/>
        <v>33462.698355817876</v>
      </c>
      <c r="S246">
        <f t="shared" si="31"/>
        <v>23423.888849072511</v>
      </c>
    </row>
    <row r="247" spans="1:19" x14ac:dyDescent="0.3">
      <c r="A247" t="s">
        <v>268</v>
      </c>
      <c r="B247" t="s">
        <v>271</v>
      </c>
      <c r="C247" t="s">
        <v>332</v>
      </c>
      <c r="D247">
        <v>2</v>
      </c>
      <c r="E247" s="16">
        <v>6000</v>
      </c>
      <c r="F247" s="14">
        <v>36.9863</v>
      </c>
      <c r="G247" s="15">
        <f t="shared" si="24"/>
        <v>0.369863</v>
      </c>
      <c r="H247" s="18">
        <f t="shared" si="25"/>
        <v>26630.135999999999</v>
      </c>
      <c r="I247" s="16">
        <v>244</v>
      </c>
      <c r="J247" s="16">
        <v>872</v>
      </c>
      <c r="K247" s="16">
        <v>566</v>
      </c>
      <c r="L247" s="16">
        <f t="shared" si="26"/>
        <v>628</v>
      </c>
      <c r="M247" s="20">
        <f t="shared" si="27"/>
        <v>0.51019108280254777</v>
      </c>
      <c r="N247" s="19">
        <v>0.369863</v>
      </c>
      <c r="O247" s="22">
        <v>100</v>
      </c>
      <c r="P247" s="13">
        <f t="shared" si="28"/>
        <v>-8.3439490445859868E-2</v>
      </c>
      <c r="Q247" s="13">
        <f t="shared" si="29"/>
        <v>0.91675904458598723</v>
      </c>
      <c r="R247" s="16">
        <f t="shared" si="30"/>
        <v>33461.705127388537</v>
      </c>
      <c r="S247">
        <f t="shared" si="31"/>
        <v>23423.193589171973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First Best-Fit Line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ADMIN</cp:lastModifiedBy>
  <dcterms:created xsi:type="dcterms:W3CDTF">2016-02-26T18:41:34Z</dcterms:created>
  <dcterms:modified xsi:type="dcterms:W3CDTF">2026-01-14T18:48:08Z</dcterms:modified>
</cp:coreProperties>
</file>